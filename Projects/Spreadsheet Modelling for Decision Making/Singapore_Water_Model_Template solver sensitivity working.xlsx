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mu-my.sharepoint.com/personal/jiayan_wu_2025_mitb_smu_edu_sg/Documents/03 Spreadsheet Modelling/Group Project due 5 Nov on Water supply in Singapore/"/>
    </mc:Choice>
  </mc:AlternateContent>
  <xr:revisionPtr revIDLastSave="78220" documentId="13_ncr:1_{F9E95BD7-E642-42A0-9667-46C4811A5BA0}" xr6:coauthVersionLast="47" xr6:coauthVersionMax="47" xr10:uidLastSave="{E68680E3-8281-482D-95FE-04043D90C2FD}"/>
  <bookViews>
    <workbookView xWindow="-108" yWindow="-108" windowWidth="23256" windowHeight="13896" firstSheet="2" activeTab="6" xr2:uid="{00000000-000D-0000-FFFF-FFFF00000000}"/>
  </bookViews>
  <sheets>
    <sheet name="Inputs_Population" sheetId="1" r:id="rId1"/>
    <sheet name="Inputs_Consumption" sheetId="2" r:id="rId2"/>
    <sheet name="Inputs_Tariff" sheetId="4" r:id="rId3"/>
    <sheet name="Inputs_Supply" sheetId="11" r:id="rId4"/>
    <sheet name="RainfallMonthlyTotal" sheetId="10" r:id="rId5"/>
    <sheet name="Model_Core" sheetId="5" r:id="rId6"/>
    <sheet name="Trade-off Analysis" sheetId="6" r:id="rId7"/>
    <sheet name="Sensitivity Analysis" sheetId="13" r:id="rId8"/>
    <sheet name="Results_Dashboard" sheetId="8" r:id="rId9"/>
  </sheets>
  <definedNames>
    <definedName name="solver_adj" localSheetId="6" hidden="1">'Trade-off Analysis'!$F$3:$F$37</definedName>
    <definedName name="solver_cvg" localSheetId="6" hidden="1">0.0001</definedName>
    <definedName name="solver_drv" localSheetId="6" hidden="1">2</definedName>
    <definedName name="solver_eng" localSheetId="2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'Trade-off Analysis'!$C$4</definedName>
    <definedName name="solver_lhs2" localSheetId="6" hidden="1">'Trade-off Analysis'!$G$3:$G$37</definedName>
    <definedName name="solver_lhs3" localSheetId="6" hidden="1">'Trade-off Analysis'!$G$3:$G$37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2" hidden="1">1</definedName>
    <definedName name="solver_neg" localSheetId="6" hidden="1">1</definedName>
    <definedName name="solver_nod" localSheetId="6" hidden="1">2147483647</definedName>
    <definedName name="solver_num" localSheetId="2" hidden="1">0</definedName>
    <definedName name="solver_num" localSheetId="6" hidden="1">2</definedName>
    <definedName name="solver_nwt" localSheetId="6" hidden="1">1</definedName>
    <definedName name="solver_opt" localSheetId="2" hidden="1">Inputs_Tariff!#REF!</definedName>
    <definedName name="solver_opt" localSheetId="6" hidden="1">'Trade-off Analysis'!$C$7</definedName>
    <definedName name="solver_pre" localSheetId="6" hidden="1">0.000001</definedName>
    <definedName name="solver_rbv" localSheetId="6" hidden="1">2</definedName>
    <definedName name="solver_rel1" localSheetId="6" hidden="1">3</definedName>
    <definedName name="solver_rel2" localSheetId="6" hidden="1">3</definedName>
    <definedName name="solver_rel3" localSheetId="6" hidden="1">3</definedName>
    <definedName name="solver_rhs1" localSheetId="6" hidden="1">1.1</definedName>
    <definedName name="solver_rhs2" localSheetId="6" hidden="1">10%</definedName>
    <definedName name="solver_rhs3" localSheetId="6" hidden="1">10%</definedName>
    <definedName name="solver_rlx" localSheetId="6" hidden="1">2</definedName>
    <definedName name="solver_rsd" localSheetId="6" hidden="1">0</definedName>
    <definedName name="solver_scl" localSheetId="6" hidden="1">2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2" hidden="1">1</definedName>
    <definedName name="solver_typ" localSheetId="6" hidden="1">2</definedName>
    <definedName name="solver_val" localSheetId="2" hidden="1">0</definedName>
    <definedName name="solver_val" localSheetId="6" hidden="1">0</definedName>
    <definedName name="solver_ver" localSheetId="2" hidden="1">3</definedName>
    <definedName name="solver_ver" localSheetId="6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3" l="1"/>
  <c r="M41" i="13"/>
  <c r="L41" i="13"/>
  <c r="K41" i="13"/>
  <c r="J41" i="13"/>
  <c r="I41" i="13"/>
  <c r="H41" i="13"/>
  <c r="G41" i="13"/>
  <c r="F41" i="13"/>
  <c r="E41" i="13"/>
  <c r="D41" i="13"/>
  <c r="J53" i="11"/>
  <c r="J51" i="11"/>
  <c r="J43" i="11"/>
  <c r="J44" i="11" s="1"/>
  <c r="J42" i="11"/>
  <c r="I38" i="11" a="1"/>
  <c r="J26" i="11" s="1"/>
  <c r="J25" i="11"/>
  <c r="J24" i="11"/>
  <c r="J45" i="11" s="1"/>
  <c r="J23" i="11"/>
  <c r="M18" i="11"/>
  <c r="N18" i="11" s="1"/>
  <c r="M17" i="11"/>
  <c r="N17" i="11" s="1"/>
  <c r="N16" i="11"/>
  <c r="M16" i="11"/>
  <c r="M15" i="11"/>
  <c r="N15" i="11" s="1"/>
  <c r="M14" i="11"/>
  <c r="N14" i="11" s="1"/>
  <c r="N13" i="11"/>
  <c r="M13" i="11"/>
  <c r="M12" i="11"/>
  <c r="N12" i="11" s="1"/>
  <c r="N11" i="11"/>
  <c r="M11" i="11"/>
  <c r="M10" i="11"/>
  <c r="N10" i="11" s="1"/>
  <c r="M9" i="11"/>
  <c r="N9" i="11" s="1"/>
  <c r="M8" i="11"/>
  <c r="N8" i="11" s="1"/>
  <c r="N7" i="11"/>
  <c r="F38" i="11" s="1"/>
  <c r="M7" i="11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E176" i="10" s="1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E56" i="10" s="1"/>
  <c r="D57" i="10"/>
  <c r="D58" i="10"/>
  <c r="D59" i="10"/>
  <c r="D60" i="10"/>
  <c r="D61" i="10"/>
  <c r="D62" i="10"/>
  <c r="D63" i="10"/>
  <c r="D64" i="10"/>
  <c r="D65" i="10"/>
  <c r="D66" i="10"/>
  <c r="D67" i="10"/>
  <c r="D68" i="10"/>
  <c r="E68" i="10" s="1"/>
  <c r="D69" i="10"/>
  <c r="D70" i="10"/>
  <c r="D71" i="10"/>
  <c r="D72" i="10"/>
  <c r="D73" i="10"/>
  <c r="D74" i="10"/>
  <c r="D75" i="10"/>
  <c r="D76" i="10"/>
  <c r="D77" i="10"/>
  <c r="D78" i="10"/>
  <c r="D79" i="10"/>
  <c r="D80" i="10"/>
  <c r="E80" i="10" s="1"/>
  <c r="D81" i="10"/>
  <c r="D82" i="10"/>
  <c r="D83" i="10"/>
  <c r="D84" i="10"/>
  <c r="D85" i="10"/>
  <c r="D86" i="10"/>
  <c r="D87" i="10"/>
  <c r="D88" i="10"/>
  <c r="D89" i="10"/>
  <c r="D90" i="10"/>
  <c r="D91" i="10"/>
  <c r="D92" i="10"/>
  <c r="E92" i="10" s="1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E104" i="10" s="1"/>
  <c r="D105" i="10"/>
  <c r="D106" i="10"/>
  <c r="D107" i="10"/>
  <c r="D108" i="10"/>
  <c r="D109" i="10"/>
  <c r="D110" i="10"/>
  <c r="D111" i="10"/>
  <c r="D112" i="10"/>
  <c r="D113" i="10"/>
  <c r="E113" i="10" s="1"/>
  <c r="D114" i="10"/>
  <c r="D115" i="10"/>
  <c r="D116" i="10"/>
  <c r="E116" i="10" s="1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E128" i="10" s="1"/>
  <c r="D129" i="10"/>
  <c r="D130" i="10"/>
  <c r="D131" i="10"/>
  <c r="D132" i="10"/>
  <c r="D133" i="10"/>
  <c r="D134" i="10"/>
  <c r="D135" i="10"/>
  <c r="D136" i="10"/>
  <c r="D137" i="10"/>
  <c r="E137" i="10" s="1"/>
  <c r="D138" i="10"/>
  <c r="D139" i="10"/>
  <c r="D140" i="10"/>
  <c r="E140" i="10" s="1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E152" i="10" s="1"/>
  <c r="D153" i="10"/>
  <c r="E153" i="10" s="1"/>
  <c r="D154" i="10"/>
  <c r="D155" i="10"/>
  <c r="D156" i="10"/>
  <c r="D157" i="10"/>
  <c r="D158" i="10"/>
  <c r="D159" i="10"/>
  <c r="D160" i="10"/>
  <c r="D161" i="10"/>
  <c r="E161" i="10" s="1"/>
  <c r="D162" i="10"/>
  <c r="D163" i="10"/>
  <c r="D164" i="10"/>
  <c r="E164" i="10" s="1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E177" i="10" s="1"/>
  <c r="D178" i="10"/>
  <c r="D179" i="10"/>
  <c r="D180" i="10"/>
  <c r="D181" i="10"/>
  <c r="D182" i="10"/>
  <c r="D183" i="10"/>
  <c r="D184" i="10"/>
  <c r="D185" i="10"/>
  <c r="E185" i="10" s="1"/>
  <c r="D186" i="10"/>
  <c r="D187" i="10"/>
  <c r="D188" i="10"/>
  <c r="E188" i="10" s="1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E201" i="10" s="1"/>
  <c r="D202" i="10"/>
  <c r="D203" i="10"/>
  <c r="D204" i="10"/>
  <c r="D205" i="10"/>
  <c r="D206" i="10"/>
  <c r="D207" i="10"/>
  <c r="D208" i="10"/>
  <c r="D209" i="10"/>
  <c r="E209" i="10" s="1"/>
  <c r="D210" i="10"/>
  <c r="D211" i="10"/>
  <c r="D212" i="10"/>
  <c r="E212" i="10" s="1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E225" i="10" s="1"/>
  <c r="D226" i="10"/>
  <c r="D227" i="10"/>
  <c r="D228" i="10"/>
  <c r="D229" i="10"/>
  <c r="D230" i="10"/>
  <c r="D231" i="10"/>
  <c r="E231" i="10" s="1"/>
  <c r="D232" i="10"/>
  <c r="D233" i="10"/>
  <c r="E233" i="10" s="1"/>
  <c r="D234" i="10"/>
  <c r="D235" i="10"/>
  <c r="D236" i="10"/>
  <c r="E236" i="10" s="1"/>
  <c r="D237" i="10"/>
  <c r="D238" i="10"/>
  <c r="D239" i="10"/>
  <c r="E239" i="10" s="1"/>
  <c r="D240" i="10"/>
  <c r="D241" i="10"/>
  <c r="D242" i="10"/>
  <c r="D243" i="10"/>
  <c r="D244" i="10"/>
  <c r="D245" i="10"/>
  <c r="D246" i="10"/>
  <c r="D247" i="10"/>
  <c r="D248" i="10"/>
  <c r="D249" i="10"/>
  <c r="E249" i="10" s="1"/>
  <c r="D250" i="10"/>
  <c r="D251" i="10"/>
  <c r="D252" i="10"/>
  <c r="D253" i="10"/>
  <c r="D254" i="10"/>
  <c r="D255" i="10"/>
  <c r="E255" i="10" s="1"/>
  <c r="D256" i="10"/>
  <c r="D257" i="10"/>
  <c r="E257" i="10" s="1"/>
  <c r="D258" i="10"/>
  <c r="D259" i="10"/>
  <c r="D260" i="10"/>
  <c r="D261" i="10"/>
  <c r="D262" i="10"/>
  <c r="D263" i="10"/>
  <c r="E263" i="10" s="1"/>
  <c r="D264" i="10"/>
  <c r="D265" i="10"/>
  <c r="D266" i="10"/>
  <c r="D267" i="10"/>
  <c r="D268" i="10"/>
  <c r="D269" i="10"/>
  <c r="D270" i="10"/>
  <c r="D271" i="10"/>
  <c r="D272" i="10"/>
  <c r="D273" i="10"/>
  <c r="E273" i="10" s="1"/>
  <c r="D274" i="10"/>
  <c r="D275" i="10"/>
  <c r="D276" i="10"/>
  <c r="D277" i="10"/>
  <c r="D278" i="10"/>
  <c r="D279" i="10"/>
  <c r="E279" i="10" s="1"/>
  <c r="D280" i="10"/>
  <c r="D281" i="10"/>
  <c r="E281" i="10" s="1"/>
  <c r="D282" i="10"/>
  <c r="D283" i="10"/>
  <c r="D284" i="10"/>
  <c r="D285" i="10"/>
  <c r="D286" i="10"/>
  <c r="D287" i="10"/>
  <c r="E287" i="10" s="1"/>
  <c r="D288" i="10"/>
  <c r="D289" i="10"/>
  <c r="D290" i="10"/>
  <c r="D291" i="10"/>
  <c r="E291" i="10" s="1"/>
  <c r="D292" i="10"/>
  <c r="D293" i="10"/>
  <c r="D294" i="10"/>
  <c r="D295" i="10"/>
  <c r="D296" i="10"/>
  <c r="D297" i="10"/>
  <c r="E297" i="10" s="1"/>
  <c r="D298" i="10"/>
  <c r="D299" i="10"/>
  <c r="E299" i="10" s="1"/>
  <c r="D300" i="10"/>
  <c r="D301" i="10"/>
  <c r="D302" i="10"/>
  <c r="D303" i="10"/>
  <c r="E303" i="10" s="1"/>
  <c r="D304" i="10"/>
  <c r="D305" i="10"/>
  <c r="E305" i="10" s="1"/>
  <c r="D306" i="10"/>
  <c r="D307" i="10"/>
  <c r="D308" i="10"/>
  <c r="D309" i="10"/>
  <c r="D310" i="10"/>
  <c r="D311" i="10"/>
  <c r="E311" i="10" s="1"/>
  <c r="D312" i="10"/>
  <c r="D313" i="10"/>
  <c r="D314" i="10"/>
  <c r="D315" i="10"/>
  <c r="E315" i="10" s="1"/>
  <c r="D316" i="10"/>
  <c r="D317" i="10"/>
  <c r="D318" i="10"/>
  <c r="D319" i="10"/>
  <c r="D320" i="10"/>
  <c r="D321" i="10"/>
  <c r="E321" i="10" s="1"/>
  <c r="D322" i="10"/>
  <c r="D323" i="10"/>
  <c r="E323" i="10" s="1"/>
  <c r="D324" i="10"/>
  <c r="D325" i="10"/>
  <c r="D326" i="10"/>
  <c r="D327" i="10"/>
  <c r="E327" i="10" s="1"/>
  <c r="D328" i="10"/>
  <c r="D329" i="10"/>
  <c r="E329" i="10" s="1"/>
  <c r="D330" i="10"/>
  <c r="D331" i="10"/>
  <c r="D332" i="10"/>
  <c r="D333" i="10"/>
  <c r="D334" i="10"/>
  <c r="D335" i="10"/>
  <c r="E335" i="10" s="1"/>
  <c r="D336" i="10"/>
  <c r="D337" i="10"/>
  <c r="D338" i="10"/>
  <c r="D339" i="10"/>
  <c r="E339" i="10" s="1"/>
  <c r="D340" i="10"/>
  <c r="D341" i="10"/>
  <c r="D342" i="10"/>
  <c r="D343" i="10"/>
  <c r="D344" i="10"/>
  <c r="D345" i="10"/>
  <c r="E345" i="10" s="1"/>
  <c r="D346" i="10"/>
  <c r="D347" i="10"/>
  <c r="E347" i="10" s="1"/>
  <c r="D348" i="10"/>
  <c r="D349" i="10"/>
  <c r="D350" i="10"/>
  <c r="D351" i="10"/>
  <c r="E351" i="10" s="1"/>
  <c r="D352" i="10"/>
  <c r="D353" i="10"/>
  <c r="E353" i="10" s="1"/>
  <c r="D354" i="10"/>
  <c r="D355" i="10"/>
  <c r="D356" i="10"/>
  <c r="D357" i="10"/>
  <c r="D358" i="10"/>
  <c r="D359" i="10"/>
  <c r="E359" i="10" s="1"/>
  <c r="D360" i="10"/>
  <c r="D361" i="10"/>
  <c r="D362" i="10"/>
  <c r="D363" i="10"/>
  <c r="E363" i="10" s="1"/>
  <c r="D364" i="10"/>
  <c r="D365" i="10"/>
  <c r="D366" i="10"/>
  <c r="D367" i="10"/>
  <c r="D368" i="10"/>
  <c r="D369" i="10"/>
  <c r="E369" i="10" s="1"/>
  <c r="D370" i="10"/>
  <c r="D371" i="10"/>
  <c r="E371" i="10" s="1"/>
  <c r="D372" i="10"/>
  <c r="D373" i="10"/>
  <c r="D374" i="10"/>
  <c r="D375" i="10"/>
  <c r="E375" i="10" s="1"/>
  <c r="D376" i="10"/>
  <c r="D377" i="10"/>
  <c r="E377" i="10" s="1"/>
  <c r="D378" i="10"/>
  <c r="D379" i="10"/>
  <c r="D380" i="10"/>
  <c r="D381" i="10"/>
  <c r="D382" i="10"/>
  <c r="D383" i="10"/>
  <c r="E383" i="10" s="1"/>
  <c r="D384" i="10"/>
  <c r="D385" i="10"/>
  <c r="D386" i="10"/>
  <c r="D387" i="10"/>
  <c r="E387" i="10" s="1"/>
  <c r="D388" i="10"/>
  <c r="D389" i="10"/>
  <c r="D390" i="10"/>
  <c r="D391" i="10"/>
  <c r="D392" i="10"/>
  <c r="D393" i="10"/>
  <c r="E393" i="10" s="1"/>
  <c r="D394" i="10"/>
  <c r="D395" i="10"/>
  <c r="E395" i="10" s="1"/>
  <c r="D396" i="10"/>
  <c r="D397" i="10"/>
  <c r="D398" i="10"/>
  <c r="D399" i="10"/>
  <c r="E399" i="10" s="1"/>
  <c r="D400" i="10"/>
  <c r="D401" i="10"/>
  <c r="E401" i="10" s="1"/>
  <c r="D402" i="10"/>
  <c r="D403" i="10"/>
  <c r="D404" i="10"/>
  <c r="D405" i="10"/>
  <c r="D406" i="10"/>
  <c r="D407" i="10"/>
  <c r="E407" i="10" s="1"/>
  <c r="D408" i="10"/>
  <c r="D409" i="10"/>
  <c r="D410" i="10"/>
  <c r="D411" i="10"/>
  <c r="E411" i="10" s="1"/>
  <c r="D412" i="10"/>
  <c r="D413" i="10"/>
  <c r="D414" i="10"/>
  <c r="D415" i="10"/>
  <c r="D416" i="10"/>
  <c r="D417" i="10"/>
  <c r="E417" i="10" s="1"/>
  <c r="D418" i="10"/>
  <c r="D419" i="10"/>
  <c r="E419" i="10" s="1"/>
  <c r="D420" i="10"/>
  <c r="D421" i="10"/>
  <c r="D422" i="10"/>
  <c r="D423" i="10"/>
  <c r="E423" i="10" s="1"/>
  <c r="D424" i="10"/>
  <c r="D425" i="10"/>
  <c r="E425" i="10" s="1"/>
  <c r="D426" i="10"/>
  <c r="D427" i="10"/>
  <c r="D428" i="10"/>
  <c r="D429" i="10"/>
  <c r="D430" i="10"/>
  <c r="E430" i="10" s="1"/>
  <c r="D431" i="10"/>
  <c r="D432" i="10"/>
  <c r="E432" i="10" s="1"/>
  <c r="D433" i="10"/>
  <c r="D434" i="10"/>
  <c r="E434" i="10" s="1"/>
  <c r="D435" i="10"/>
  <c r="D436" i="10"/>
  <c r="D437" i="10"/>
  <c r="E437" i="10" s="1"/>
  <c r="D438" i="10"/>
  <c r="D439" i="10"/>
  <c r="D440" i="10"/>
  <c r="E440" i="10" s="1"/>
  <c r="D441" i="10"/>
  <c r="E441" i="10" s="1"/>
  <c r="D442" i="10"/>
  <c r="D443" i="10"/>
  <c r="D444" i="10"/>
  <c r="D445" i="10"/>
  <c r="D446" i="10"/>
  <c r="D447" i="10"/>
  <c r="E447" i="10" s="1"/>
  <c r="D448" i="10"/>
  <c r="E448" i="10" s="1"/>
  <c r="D449" i="10"/>
  <c r="D450" i="10"/>
  <c r="D451" i="10"/>
  <c r="D452" i="10"/>
  <c r="E452" i="10" s="1"/>
  <c r="D453" i="10"/>
  <c r="D454" i="10"/>
  <c r="D455" i="10"/>
  <c r="E455" i="10" s="1"/>
  <c r="D456" i="10"/>
  <c r="D457" i="10"/>
  <c r="D458" i="10"/>
  <c r="E458" i="10" s="1"/>
  <c r="D459" i="10"/>
  <c r="D460" i="10"/>
  <c r="E460" i="10" s="1"/>
  <c r="D461" i="10"/>
  <c r="E461" i="10" s="1"/>
  <c r="D462" i="10"/>
  <c r="D463" i="10"/>
  <c r="E463" i="10" s="1"/>
  <c r="D464" i="10"/>
  <c r="D465" i="10"/>
  <c r="E465" i="10" s="1"/>
  <c r="D466" i="10"/>
  <c r="D467" i="10"/>
  <c r="D468" i="10"/>
  <c r="D469" i="10"/>
  <c r="D470" i="10"/>
  <c r="D471" i="10"/>
  <c r="E471" i="10" s="1"/>
  <c r="D472" i="10"/>
  <c r="D473" i="10"/>
  <c r="E473" i="10" s="1"/>
  <c r="D474" i="10"/>
  <c r="E474" i="10" s="1"/>
  <c r="D475" i="10"/>
  <c r="E475" i="10" s="1"/>
  <c r="D476" i="10"/>
  <c r="E476" i="10" s="1"/>
  <c r="D477" i="10"/>
  <c r="D478" i="10"/>
  <c r="E478" i="10" s="1"/>
  <c r="D479" i="10"/>
  <c r="E479" i="10"/>
  <c r="D480" i="10"/>
  <c r="D481" i="10"/>
  <c r="E467" i="10" s="1"/>
  <c r="D482" i="10"/>
  <c r="D483" i="10"/>
  <c r="D484" i="10"/>
  <c r="E484" i="10" s="1"/>
  <c r="D485" i="10"/>
  <c r="D486" i="10"/>
  <c r="E486" i="10" s="1"/>
  <c r="D487" i="10"/>
  <c r="E487" i="10"/>
  <c r="D488" i="10"/>
  <c r="E488" i="10" s="1"/>
  <c r="D489" i="10"/>
  <c r="E489" i="10" s="1"/>
  <c r="D490" i="10"/>
  <c r="D491" i="10"/>
  <c r="E491" i="10" s="1"/>
  <c r="D492" i="10"/>
  <c r="E492" i="10"/>
  <c r="D493" i="10"/>
  <c r="E493" i="10"/>
  <c r="D494" i="10"/>
  <c r="E494" i="10" s="1"/>
  <c r="D495" i="10"/>
  <c r="E495" i="10" s="1"/>
  <c r="D496" i="10"/>
  <c r="D497" i="10"/>
  <c r="E497" i="10" s="1"/>
  <c r="D498" i="10"/>
  <c r="E498" i="10"/>
  <c r="D499" i="10"/>
  <c r="E499" i="10"/>
  <c r="D500" i="10"/>
  <c r="E500" i="10" s="1"/>
  <c r="D501" i="10"/>
  <c r="E501" i="10" s="1"/>
  <c r="D502" i="10"/>
  <c r="D503" i="10"/>
  <c r="E503" i="10" s="1"/>
  <c r="D504" i="10"/>
  <c r="E504" i="10"/>
  <c r="D505" i="10"/>
  <c r="E505" i="10"/>
  <c r="D506" i="10"/>
  <c r="E506" i="10" s="1"/>
  <c r="D507" i="10"/>
  <c r="E507" i="10" s="1"/>
  <c r="D508" i="10"/>
  <c r="D509" i="10"/>
  <c r="E509" i="10" s="1"/>
  <c r="D510" i="10"/>
  <c r="E510" i="10"/>
  <c r="D511" i="10"/>
  <c r="E511" i="10"/>
  <c r="D512" i="10"/>
  <c r="E512" i="10" s="1"/>
  <c r="D513" i="10"/>
  <c r="E513" i="10" s="1"/>
  <c r="D514" i="10"/>
  <c r="D515" i="10"/>
  <c r="E515" i="10" s="1"/>
  <c r="D516" i="10"/>
  <c r="E516" i="10"/>
  <c r="D517" i="10"/>
  <c r="E517" i="10"/>
  <c r="D518" i="10"/>
  <c r="E518" i="10" s="1"/>
  <c r="D519" i="10"/>
  <c r="E519" i="10" s="1"/>
  <c r="D520" i="10"/>
  <c r="D521" i="10"/>
  <c r="E521" i="10" s="1"/>
  <c r="D522" i="10"/>
  <c r="E522" i="10"/>
  <c r="D523" i="10"/>
  <c r="E523" i="10"/>
  <c r="D524" i="10"/>
  <c r="E524" i="10" s="1"/>
  <c r="D525" i="10"/>
  <c r="E525" i="10" s="1"/>
  <c r="D526" i="10"/>
  <c r="F34" i="11" l="1"/>
  <c r="F10" i="11"/>
  <c r="F4" i="11"/>
  <c r="N3" i="11"/>
  <c r="F17" i="11"/>
  <c r="F19" i="11"/>
  <c r="F14" i="11"/>
  <c r="F7" i="11"/>
  <c r="F12" i="11"/>
  <c r="F36" i="11"/>
  <c r="F21" i="11"/>
  <c r="J31" i="11"/>
  <c r="J34" i="11" s="1"/>
  <c r="J27" i="11"/>
  <c r="J29" i="11" s="1"/>
  <c r="J46" i="11"/>
  <c r="J28" i="11" s="1"/>
  <c r="E10" i="11"/>
  <c r="E4" i="11"/>
  <c r="E21" i="11"/>
  <c r="E38" i="11"/>
  <c r="E29" i="11"/>
  <c r="E27" i="11"/>
  <c r="E25" i="11"/>
  <c r="E23" i="11"/>
  <c r="E15" i="11"/>
  <c r="E19" i="11"/>
  <c r="E31" i="11"/>
  <c r="E8" i="11"/>
  <c r="E6" i="11"/>
  <c r="E33" i="11"/>
  <c r="E13" i="11"/>
  <c r="O3" i="11"/>
  <c r="E36" i="11"/>
  <c r="E17" i="11"/>
  <c r="E35" i="11"/>
  <c r="E20" i="11"/>
  <c r="E18" i="11"/>
  <c r="E12" i="11"/>
  <c r="E11" i="11"/>
  <c r="E7" i="11"/>
  <c r="E37" i="11"/>
  <c r="E22" i="11"/>
  <c r="E16" i="11"/>
  <c r="E14" i="11"/>
  <c r="E30" i="11"/>
  <c r="E28" i="11"/>
  <c r="E26" i="11"/>
  <c r="E24" i="11"/>
  <c r="E9" i="11"/>
  <c r="E5" i="11"/>
  <c r="E3" i="11"/>
  <c r="E32" i="11"/>
  <c r="E34" i="11"/>
  <c r="F32" i="11"/>
  <c r="F3" i="11"/>
  <c r="F5" i="11"/>
  <c r="F9" i="11"/>
  <c r="F24" i="11"/>
  <c r="F26" i="11"/>
  <c r="F28" i="11"/>
  <c r="F30" i="11"/>
  <c r="I38" i="11"/>
  <c r="F16" i="11"/>
  <c r="F22" i="11"/>
  <c r="F37" i="11"/>
  <c r="F11" i="11"/>
  <c r="F18" i="11"/>
  <c r="F20" i="11"/>
  <c r="F35" i="11"/>
  <c r="F13" i="11"/>
  <c r="F33" i="11"/>
  <c r="J52" i="11"/>
  <c r="J55" i="11" s="1"/>
  <c r="F6" i="11"/>
  <c r="F8" i="11"/>
  <c r="F31" i="11"/>
  <c r="F15" i="11"/>
  <c r="F23" i="11"/>
  <c r="F25" i="11"/>
  <c r="F27" i="11"/>
  <c r="F29" i="11"/>
  <c r="E385" i="10"/>
  <c r="E265" i="10"/>
  <c r="E193" i="10"/>
  <c r="E121" i="10"/>
  <c r="E73" i="10"/>
  <c r="E30" i="10"/>
  <c r="E11" i="10"/>
  <c r="E485" i="10"/>
  <c r="E472" i="10"/>
  <c r="E439" i="10"/>
  <c r="E431" i="10"/>
  <c r="E416" i="10"/>
  <c r="E400" i="10"/>
  <c r="E384" i="10"/>
  <c r="E368" i="10"/>
  <c r="E352" i="10"/>
  <c r="E328" i="10"/>
  <c r="E312" i="10"/>
  <c r="E296" i="10"/>
  <c r="E288" i="10"/>
  <c r="E272" i="10"/>
  <c r="E264" i="10"/>
  <c r="E256" i="10"/>
  <c r="E248" i="10"/>
  <c r="E240" i="10"/>
  <c r="E232" i="10"/>
  <c r="E224" i="10"/>
  <c r="E216" i="10"/>
  <c r="E208" i="10"/>
  <c r="E200" i="10"/>
  <c r="E192" i="10"/>
  <c r="E184" i="10"/>
  <c r="E168" i="10"/>
  <c r="E160" i="10"/>
  <c r="E144" i="10"/>
  <c r="E136" i="10"/>
  <c r="E120" i="10"/>
  <c r="E112" i="10"/>
  <c r="E96" i="10"/>
  <c r="E88" i="10"/>
  <c r="E72" i="10"/>
  <c r="E64" i="10"/>
  <c r="E48" i="10"/>
  <c r="E39" i="10"/>
  <c r="E20" i="10"/>
  <c r="E10" i="10"/>
  <c r="E466" i="10"/>
  <c r="E289" i="10"/>
  <c r="E217" i="10"/>
  <c r="E145" i="10"/>
  <c r="E97" i="10"/>
  <c r="E40" i="10"/>
  <c r="E21" i="10"/>
  <c r="E459" i="10"/>
  <c r="E446" i="10"/>
  <c r="E424" i="10"/>
  <c r="E408" i="10"/>
  <c r="E392" i="10"/>
  <c r="E376" i="10"/>
  <c r="E360" i="10"/>
  <c r="E344" i="10"/>
  <c r="E336" i="10"/>
  <c r="E320" i="10"/>
  <c r="E304" i="10"/>
  <c r="E280" i="10"/>
  <c r="E438" i="10"/>
  <c r="E215" i="10"/>
  <c r="E207" i="10"/>
  <c r="E191" i="10"/>
  <c r="E183" i="10"/>
  <c r="E167" i="10"/>
  <c r="E159" i="10"/>
  <c r="E143" i="10"/>
  <c r="E135" i="10"/>
  <c r="E119" i="10"/>
  <c r="E111" i="10"/>
  <c r="E95" i="10"/>
  <c r="E87" i="10"/>
  <c r="E71" i="10"/>
  <c r="E63" i="10"/>
  <c r="E47" i="10"/>
  <c r="E38" i="10"/>
  <c r="E29" i="10"/>
  <c r="E19" i="10"/>
  <c r="E361" i="10"/>
  <c r="E241" i="10"/>
  <c r="E169" i="10"/>
  <c r="E49" i="10"/>
  <c r="E445" i="10"/>
  <c r="E415" i="10"/>
  <c r="E391" i="10"/>
  <c r="E367" i="10"/>
  <c r="E343" i="10"/>
  <c r="E319" i="10"/>
  <c r="E295" i="10"/>
  <c r="E271" i="10"/>
  <c r="E247" i="10"/>
  <c r="E223" i="10"/>
  <c r="E199" i="10"/>
  <c r="E175" i="10"/>
  <c r="E151" i="10"/>
  <c r="E127" i="10"/>
  <c r="E103" i="10"/>
  <c r="E79" i="10"/>
  <c r="E55" i="10"/>
  <c r="E28" i="10"/>
  <c r="E18" i="10"/>
  <c r="E9" i="10"/>
  <c r="E520" i="10"/>
  <c r="E464" i="10"/>
  <c r="E390" i="10"/>
  <c r="E350" i="10"/>
  <c r="E286" i="10"/>
  <c r="E270" i="10"/>
  <c r="E246" i="10"/>
  <c r="E238" i="10"/>
  <c r="E230" i="10"/>
  <c r="E222" i="10"/>
  <c r="E214" i="10"/>
  <c r="E206" i="10"/>
  <c r="E198" i="10"/>
  <c r="E190" i="10"/>
  <c r="E182" i="10"/>
  <c r="E174" i="10"/>
  <c r="E166" i="10"/>
  <c r="E158" i="10"/>
  <c r="E150" i="10"/>
  <c r="E142" i="10"/>
  <c r="E134" i="10"/>
  <c r="E126" i="10"/>
  <c r="E118" i="10"/>
  <c r="E110" i="10"/>
  <c r="E102" i="10"/>
  <c r="E94" i="10"/>
  <c r="E86" i="10"/>
  <c r="E78" i="10"/>
  <c r="E70" i="10"/>
  <c r="E62" i="10"/>
  <c r="E54" i="10"/>
  <c r="E46" i="10"/>
  <c r="E37" i="10"/>
  <c r="E27" i="10"/>
  <c r="E8" i="10"/>
  <c r="E508" i="10"/>
  <c r="E451" i="10"/>
  <c r="E374" i="10"/>
  <c r="E310" i="10"/>
  <c r="E262" i="10"/>
  <c r="E470" i="10"/>
  <c r="E443" i="10"/>
  <c r="E429" i="10"/>
  <c r="E405" i="10"/>
  <c r="E389" i="10"/>
  <c r="E381" i="10"/>
  <c r="E365" i="10"/>
  <c r="E357" i="10"/>
  <c r="E341" i="10"/>
  <c r="E333" i="10"/>
  <c r="E317" i="10"/>
  <c r="E309" i="10"/>
  <c r="E293" i="10"/>
  <c r="E285" i="10"/>
  <c r="E269" i="10"/>
  <c r="E261" i="10"/>
  <c r="E245" i="10"/>
  <c r="E237" i="10"/>
  <c r="E221" i="10"/>
  <c r="E213" i="10"/>
  <c r="E197" i="10"/>
  <c r="E189" i="10"/>
  <c r="E173" i="10"/>
  <c r="E165" i="10"/>
  <c r="E149" i="10"/>
  <c r="E141" i="10"/>
  <c r="E125" i="10"/>
  <c r="E117" i="10"/>
  <c r="E101" i="10"/>
  <c r="E93" i="10"/>
  <c r="E77" i="10"/>
  <c r="E69" i="10"/>
  <c r="E53" i="10"/>
  <c r="E36" i="10"/>
  <c r="E26" i="10"/>
  <c r="E17" i="10"/>
  <c r="E7" i="10"/>
  <c r="E453" i="10"/>
  <c r="E526" i="10"/>
  <c r="E496" i="10"/>
  <c r="E414" i="10"/>
  <c r="E366" i="10"/>
  <c r="E326" i="10"/>
  <c r="E294" i="10"/>
  <c r="E254" i="10"/>
  <c r="E483" i="10"/>
  <c r="E457" i="10"/>
  <c r="E436" i="10"/>
  <c r="E413" i="10"/>
  <c r="E450" i="10"/>
  <c r="E421" i="10"/>
  <c r="E397" i="10"/>
  <c r="E373" i="10"/>
  <c r="E349" i="10"/>
  <c r="E325" i="10"/>
  <c r="E301" i="10"/>
  <c r="E277" i="10"/>
  <c r="E253" i="10"/>
  <c r="E229" i="10"/>
  <c r="E205" i="10"/>
  <c r="E181" i="10"/>
  <c r="E157" i="10"/>
  <c r="E133" i="10"/>
  <c r="E109" i="10"/>
  <c r="E85" i="10"/>
  <c r="E61" i="10"/>
  <c r="E45" i="10"/>
  <c r="E35" i="10"/>
  <c r="E16" i="10"/>
  <c r="E2" i="10"/>
  <c r="E6" i="10"/>
  <c r="E409" i="10"/>
  <c r="E514" i="10"/>
  <c r="E490" i="10"/>
  <c r="E422" i="10"/>
  <c r="E382" i="10"/>
  <c r="E342" i="10"/>
  <c r="E302" i="10"/>
  <c r="E469" i="10"/>
  <c r="E449" i="10"/>
  <c r="E435" i="10"/>
  <c r="E428" i="10"/>
  <c r="E412" i="10"/>
  <c r="E388" i="10"/>
  <c r="E380" i="10"/>
  <c r="E364" i="10"/>
  <c r="E348" i="10"/>
  <c r="E332" i="10"/>
  <c r="E324" i="10"/>
  <c r="E308" i="10"/>
  <c r="E300" i="10"/>
  <c r="E292" i="10"/>
  <c r="E284" i="10"/>
  <c r="E276" i="10"/>
  <c r="E268" i="10"/>
  <c r="E260" i="10"/>
  <c r="E252" i="10"/>
  <c r="E244" i="10"/>
  <c r="E228" i="10"/>
  <c r="E220" i="10"/>
  <c r="E204" i="10"/>
  <c r="E196" i="10"/>
  <c r="E180" i="10"/>
  <c r="E172" i="10"/>
  <c r="E156" i="10"/>
  <c r="E148" i="10"/>
  <c r="E132" i="10"/>
  <c r="E124" i="10"/>
  <c r="E108" i="10"/>
  <c r="E100" i="10"/>
  <c r="E84" i="10"/>
  <c r="E76" i="10"/>
  <c r="E60" i="10"/>
  <c r="E52" i="10"/>
  <c r="E44" i="10"/>
  <c r="E34" i="10"/>
  <c r="E25" i="10"/>
  <c r="E15" i="10"/>
  <c r="E337" i="10"/>
  <c r="E502" i="10"/>
  <c r="E444" i="10"/>
  <c r="E398" i="10"/>
  <c r="E358" i="10"/>
  <c r="E318" i="10"/>
  <c r="E278" i="10"/>
  <c r="E482" i="10"/>
  <c r="E456" i="10"/>
  <c r="E442" i="10"/>
  <c r="E420" i="10"/>
  <c r="E404" i="10"/>
  <c r="E396" i="10"/>
  <c r="E372" i="10"/>
  <c r="E356" i="10"/>
  <c r="E340" i="10"/>
  <c r="E316" i="10"/>
  <c r="E462" i="10"/>
  <c r="E275" i="10"/>
  <c r="E267" i="10"/>
  <c r="E251" i="10"/>
  <c r="E243" i="10"/>
  <c r="E227" i="10"/>
  <c r="E219" i="10"/>
  <c r="E203" i="10"/>
  <c r="E195" i="10"/>
  <c r="E179" i="10"/>
  <c r="E171" i="10"/>
  <c r="E155" i="10"/>
  <c r="E147" i="10"/>
  <c r="E131" i="10"/>
  <c r="E123" i="10"/>
  <c r="E107" i="10"/>
  <c r="E99" i="10"/>
  <c r="E83" i="10"/>
  <c r="E75" i="10"/>
  <c r="E59" i="10"/>
  <c r="E51" i="10"/>
  <c r="E43" i="10"/>
  <c r="E24" i="10"/>
  <c r="E14" i="10"/>
  <c r="E5" i="10"/>
  <c r="E313" i="10"/>
  <c r="E477" i="10"/>
  <c r="E406" i="10"/>
  <c r="E334" i="10"/>
  <c r="E481" i="10"/>
  <c r="E468" i="10"/>
  <c r="E427" i="10"/>
  <c r="E403" i="10"/>
  <c r="E379" i="10"/>
  <c r="E355" i="10"/>
  <c r="E331" i="10"/>
  <c r="E307" i="10"/>
  <c r="E283" i="10"/>
  <c r="E259" i="10"/>
  <c r="E235" i="10"/>
  <c r="E211" i="10"/>
  <c r="E187" i="10"/>
  <c r="E163" i="10"/>
  <c r="E139" i="10"/>
  <c r="E115" i="10"/>
  <c r="E91" i="10"/>
  <c r="E67" i="10"/>
  <c r="E42" i="10"/>
  <c r="E33" i="10"/>
  <c r="E23" i="10"/>
  <c r="E4" i="10"/>
  <c r="E454" i="10"/>
  <c r="E418" i="10"/>
  <c r="E402" i="10"/>
  <c r="E386" i="10"/>
  <c r="E370" i="10"/>
  <c r="E354" i="10"/>
  <c r="E330" i="10"/>
  <c r="E314" i="10"/>
  <c r="E306" i="10"/>
  <c r="E290" i="10"/>
  <c r="E274" i="10"/>
  <c r="E258" i="10"/>
  <c r="E242" i="10"/>
  <c r="E226" i="10"/>
  <c r="E218" i="10"/>
  <c r="E202" i="10"/>
  <c r="E194" i="10"/>
  <c r="E178" i="10"/>
  <c r="E170" i="10"/>
  <c r="E162" i="10"/>
  <c r="E154" i="10"/>
  <c r="E146" i="10"/>
  <c r="E138" i="10"/>
  <c r="E130" i="10"/>
  <c r="E122" i="10"/>
  <c r="E114" i="10"/>
  <c r="E106" i="10"/>
  <c r="E98" i="10"/>
  <c r="E90" i="10"/>
  <c r="E82" i="10"/>
  <c r="E74" i="10"/>
  <c r="E66" i="10"/>
  <c r="E58" i="10"/>
  <c r="E50" i="10"/>
  <c r="E32" i="10"/>
  <c r="E22" i="10"/>
  <c r="E13" i="10"/>
  <c r="G2" i="10" a="1"/>
  <c r="E426" i="10"/>
  <c r="E410" i="10"/>
  <c r="E394" i="10"/>
  <c r="E378" i="10"/>
  <c r="E362" i="10"/>
  <c r="E346" i="10"/>
  <c r="E338" i="10"/>
  <c r="E322" i="10"/>
  <c r="E298" i="10"/>
  <c r="E282" i="10"/>
  <c r="E266" i="10"/>
  <c r="E250" i="10"/>
  <c r="E234" i="10"/>
  <c r="E210" i="10"/>
  <c r="E186" i="10"/>
  <c r="E480" i="10"/>
  <c r="E433" i="10"/>
  <c r="E129" i="10"/>
  <c r="E105" i="10"/>
  <c r="E89" i="10"/>
  <c r="E81" i="10"/>
  <c r="E65" i="10"/>
  <c r="E57" i="10"/>
  <c r="E41" i="10"/>
  <c r="E31" i="10"/>
  <c r="E12" i="10"/>
  <c r="E3" i="10"/>
  <c r="D36" i="11" l="1"/>
  <c r="D21" i="11"/>
  <c r="D17" i="11"/>
  <c r="D26" i="11"/>
  <c r="D10" i="11"/>
  <c r="D4" i="11"/>
  <c r="D30" i="11"/>
  <c r="D14" i="11"/>
  <c r="D38" i="11"/>
  <c r="D29" i="11"/>
  <c r="D27" i="11"/>
  <c r="D25" i="11"/>
  <c r="D23" i="11"/>
  <c r="D15" i="11"/>
  <c r="D28" i="11"/>
  <c r="D7" i="11"/>
  <c r="D31" i="11"/>
  <c r="D8" i="11"/>
  <c r="D6" i="11"/>
  <c r="D5" i="11"/>
  <c r="D33" i="11"/>
  <c r="D13" i="11"/>
  <c r="D32" i="11"/>
  <c r="D35" i="11"/>
  <c r="D20" i="11"/>
  <c r="D18" i="11"/>
  <c r="D3" i="11"/>
  <c r="D11" i="11"/>
  <c r="D9" i="11"/>
  <c r="D12" i="11"/>
  <c r="D37" i="11"/>
  <c r="D22" i="11"/>
  <c r="D16" i="11"/>
  <c r="D24" i="11"/>
  <c r="D34" i="11"/>
  <c r="D19" i="11"/>
  <c r="C34" i="11"/>
  <c r="C12" i="11"/>
  <c r="C24" i="11"/>
  <c r="C36" i="11"/>
  <c r="C21" i="11"/>
  <c r="C17" i="11"/>
  <c r="C7" i="11"/>
  <c r="C10" i="11"/>
  <c r="C4" i="11"/>
  <c r="C28" i="11"/>
  <c r="C9" i="11"/>
  <c r="C3" i="11"/>
  <c r="C38" i="11"/>
  <c r="C29" i="11"/>
  <c r="C27" i="11"/>
  <c r="C25" i="11"/>
  <c r="C23" i="11"/>
  <c r="C15" i="11"/>
  <c r="C26" i="11"/>
  <c r="C19" i="11"/>
  <c r="C31" i="11"/>
  <c r="C8" i="11"/>
  <c r="C6" i="11"/>
  <c r="C33" i="11"/>
  <c r="C13" i="11"/>
  <c r="C22" i="11"/>
  <c r="C35" i="11"/>
  <c r="C20" i="11"/>
  <c r="C18" i="11"/>
  <c r="C37" i="11"/>
  <c r="C30" i="11"/>
  <c r="C11" i="11"/>
  <c r="C16" i="11"/>
  <c r="C5" i="11"/>
  <c r="C32" i="11"/>
  <c r="C14" i="11"/>
  <c r="G2" i="10"/>
  <c r="H6" i="10"/>
  <c r="H10" i="10"/>
  <c r="H14" i="10"/>
  <c r="H18" i="10"/>
  <c r="H22" i="10"/>
  <c r="H26" i="10"/>
  <c r="H30" i="10"/>
  <c r="H34" i="10"/>
  <c r="H38" i="10"/>
  <c r="H42" i="10"/>
  <c r="H3" i="10"/>
  <c r="H7" i="10"/>
  <c r="H11" i="10"/>
  <c r="H15" i="10"/>
  <c r="H19" i="10"/>
  <c r="H23" i="10"/>
  <c r="H27" i="10"/>
  <c r="H31" i="10"/>
  <c r="H35" i="10"/>
  <c r="H39" i="10"/>
  <c r="H43" i="10"/>
  <c r="H4" i="10"/>
  <c r="H8" i="10"/>
  <c r="H12" i="10"/>
  <c r="H16" i="10"/>
  <c r="H20" i="10"/>
  <c r="H24" i="10"/>
  <c r="H28" i="10"/>
  <c r="H32" i="10"/>
  <c r="H36" i="10"/>
  <c r="H40" i="10"/>
  <c r="H44" i="10"/>
  <c r="H21" i="10"/>
  <c r="H41" i="10"/>
  <c r="H13" i="10"/>
  <c r="H33" i="10"/>
  <c r="H5" i="10"/>
  <c r="H25" i="10"/>
  <c r="H45" i="10"/>
  <c r="H17" i="10"/>
  <c r="H37" i="10"/>
  <c r="H9" i="10"/>
  <c r="H29" i="10"/>
  <c r="G3" i="11" l="1"/>
  <c r="G28" i="11"/>
  <c r="H27" i="5" s="1"/>
  <c r="G9" i="11"/>
  <c r="H8" i="5" s="1"/>
  <c r="G17" i="11"/>
  <c r="H16" i="5" s="1"/>
  <c r="G26" i="11"/>
  <c r="H25" i="5" s="1"/>
  <c r="G11" i="11"/>
  <c r="H10" i="5" s="1"/>
  <c r="G6" i="11"/>
  <c r="H5" i="5" s="1"/>
  <c r="G7" i="11"/>
  <c r="H6" i="5" s="1"/>
  <c r="G8" i="11"/>
  <c r="H7" i="5" s="1"/>
  <c r="G31" i="11"/>
  <c r="H30" i="5" s="1"/>
  <c r="G4" i="11"/>
  <c r="H3" i="5" s="1"/>
  <c r="G10" i="11"/>
  <c r="H9" i="5" s="1"/>
  <c r="G14" i="11"/>
  <c r="H13" i="5" s="1"/>
  <c r="G15" i="11"/>
  <c r="H14" i="5" s="1"/>
  <c r="G21" i="11"/>
  <c r="H20" i="5" s="1"/>
  <c r="G18" i="11"/>
  <c r="H17" i="5" s="1"/>
  <c r="G33" i="11"/>
  <c r="H32" i="5" s="1"/>
  <c r="G23" i="11"/>
  <c r="H22" i="5" s="1"/>
  <c r="G5" i="11"/>
  <c r="H4" i="5" s="1"/>
  <c r="G36" i="11"/>
  <c r="H35" i="5" s="1"/>
  <c r="G20" i="11"/>
  <c r="H19" i="5" s="1"/>
  <c r="G30" i="11"/>
  <c r="H29" i="5" s="1"/>
  <c r="G32" i="11"/>
  <c r="H31" i="5" s="1"/>
  <c r="G16" i="11"/>
  <c r="H15" i="5" s="1"/>
  <c r="G19" i="11"/>
  <c r="H18" i="5" s="1"/>
  <c r="G25" i="11"/>
  <c r="H24" i="5" s="1"/>
  <c r="G27" i="11"/>
  <c r="H26" i="5" s="1"/>
  <c r="G24" i="11"/>
  <c r="H23" i="5" s="1"/>
  <c r="G37" i="11"/>
  <c r="H36" i="5" s="1"/>
  <c r="G35" i="11"/>
  <c r="H34" i="5" s="1"/>
  <c r="G22" i="11"/>
  <c r="H21" i="5" s="1"/>
  <c r="G29" i="11"/>
  <c r="H28" i="5" s="1"/>
  <c r="G12" i="11"/>
  <c r="H11" i="5" s="1"/>
  <c r="G13" i="11"/>
  <c r="H12" i="5" s="1"/>
  <c r="G38" i="11"/>
  <c r="H37" i="5" s="1"/>
  <c r="G34" i="11"/>
  <c r="H33" i="5" s="1"/>
  <c r="H2" i="10"/>
  <c r="F5" i="4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4" i="4"/>
  <c r="C7" i="6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4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" i="5"/>
  <c r="D13" i="2"/>
  <c r="D18" i="2"/>
  <c r="D14" i="2"/>
  <c r="D15" i="2"/>
  <c r="D16" i="2"/>
  <c r="D17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F13" i="2"/>
  <c r="F14" i="2"/>
  <c r="F30" i="2"/>
  <c r="F46" i="2"/>
  <c r="F15" i="2"/>
  <c r="F31" i="2"/>
  <c r="F47" i="2"/>
  <c r="F16" i="2"/>
  <c r="F32" i="2"/>
  <c r="F17" i="2"/>
  <c r="F18" i="2"/>
  <c r="F34" i="2"/>
  <c r="F19" i="2"/>
  <c r="F35" i="2"/>
  <c r="F20" i="2"/>
  <c r="F36" i="2"/>
  <c r="F21" i="2"/>
  <c r="F37" i="2"/>
  <c r="F38" i="2"/>
  <c r="F23" i="2"/>
  <c r="F39" i="2"/>
  <c r="F24" i="2"/>
  <c r="F40" i="2"/>
  <c r="F25" i="2"/>
  <c r="F26" i="2"/>
  <c r="F42" i="2"/>
  <c r="F43" i="2"/>
  <c r="F44" i="2"/>
  <c r="F45" i="2"/>
  <c r="F33" i="2"/>
  <c r="F41" i="2"/>
  <c r="F27" i="2"/>
  <c r="F28" i="2"/>
  <c r="F29" i="2"/>
  <c r="F22" i="2"/>
  <c r="E14" i="2"/>
  <c r="E30" i="2"/>
  <c r="E46" i="2"/>
  <c r="E32" i="2"/>
  <c r="E17" i="2"/>
  <c r="E34" i="2"/>
  <c r="E36" i="2"/>
  <c r="E37" i="2"/>
  <c r="E38" i="2"/>
  <c r="E39" i="2"/>
  <c r="E40" i="2"/>
  <c r="E41" i="2"/>
  <c r="E27" i="2"/>
  <c r="E44" i="2"/>
  <c r="E45" i="2"/>
  <c r="E15" i="2"/>
  <c r="E31" i="2"/>
  <c r="E47" i="2"/>
  <c r="E16" i="2"/>
  <c r="E33" i="2"/>
  <c r="E18" i="2"/>
  <c r="E19" i="2"/>
  <c r="E20" i="2"/>
  <c r="E21" i="2"/>
  <c r="E22" i="2"/>
  <c r="E23" i="2"/>
  <c r="E24" i="2"/>
  <c r="E25" i="2"/>
  <c r="E26" i="2"/>
  <c r="E42" i="2"/>
  <c r="E43" i="2"/>
  <c r="E28" i="2"/>
  <c r="E29" i="2"/>
  <c r="E35" i="2"/>
  <c r="E29" i="1"/>
  <c r="E30" i="1"/>
  <c r="D29" i="1" l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F30" i="1"/>
  <c r="F46" i="1"/>
  <c r="F62" i="1"/>
  <c r="F31" i="1"/>
  <c r="F47" i="1"/>
  <c r="F63" i="1"/>
  <c r="F32" i="1"/>
  <c r="F48" i="1"/>
  <c r="F33" i="1"/>
  <c r="F49" i="1"/>
  <c r="F34" i="1"/>
  <c r="F50" i="1"/>
  <c r="F35" i="1"/>
  <c r="F51" i="1"/>
  <c r="F59" i="1"/>
  <c r="F36" i="1"/>
  <c r="F52" i="1"/>
  <c r="F37" i="1"/>
  <c r="F53" i="1"/>
  <c r="F43" i="1"/>
  <c r="F38" i="1"/>
  <c r="F54" i="1"/>
  <c r="F39" i="1"/>
  <c r="F55" i="1"/>
  <c r="F58" i="1"/>
  <c r="F40" i="1"/>
  <c r="F56" i="1"/>
  <c r="F41" i="1"/>
  <c r="F57" i="1"/>
  <c r="F42" i="1"/>
  <c r="F44" i="1"/>
  <c r="F60" i="1"/>
  <c r="F45" i="1"/>
  <c r="F61" i="1"/>
  <c r="F29" i="1"/>
  <c r="E46" i="1"/>
  <c r="E62" i="1"/>
  <c r="E31" i="1"/>
  <c r="E47" i="1"/>
  <c r="E63" i="1"/>
  <c r="E32" i="1"/>
  <c r="E48" i="1"/>
  <c r="E33" i="1"/>
  <c r="E49" i="1"/>
  <c r="E34" i="1"/>
  <c r="E50" i="1"/>
  <c r="E35" i="1"/>
  <c r="E51" i="1"/>
  <c r="E36" i="1"/>
  <c r="E52" i="1"/>
  <c r="E37" i="1"/>
  <c r="E53" i="1"/>
  <c r="E38" i="1"/>
  <c r="E54" i="1"/>
  <c r="E39" i="1"/>
  <c r="E55" i="1"/>
  <c r="E40" i="1"/>
  <c r="E56" i="1"/>
  <c r="E41" i="1"/>
  <c r="E57" i="1"/>
  <c r="E42" i="1"/>
  <c r="E58" i="1"/>
  <c r="E43" i="1"/>
  <c r="E59" i="1"/>
  <c r="E44" i="1"/>
  <c r="E60" i="1"/>
  <c r="E45" i="1"/>
  <c r="E61" i="1"/>
  <c r="E13" i="2"/>
  <c r="D23" i="8" l="1"/>
  <c r="D35" i="8"/>
  <c r="D18" i="8"/>
  <c r="D22" i="8"/>
  <c r="D21" i="8"/>
  <c r="D16" i="8"/>
  <c r="D25" i="8"/>
  <c r="D37" i="8"/>
  <c r="D29" i="8"/>
  <c r="D28" i="8"/>
  <c r="D20" i="8"/>
  <c r="D33" i="8"/>
  <c r="D12" i="8"/>
  <c r="D19" i="8"/>
  <c r="D24" i="8"/>
  <c r="D27" i="8"/>
  <c r="D36" i="8"/>
  <c r="D26" i="8"/>
  <c r="D13" i="8"/>
  <c r="D14" i="8"/>
  <c r="D30" i="8"/>
  <c r="D15" i="8"/>
  <c r="D32" i="8"/>
  <c r="D17" i="8"/>
  <c r="D34" i="8"/>
  <c r="D31" i="8"/>
  <c r="D11" i="8" l="1"/>
  <c r="D10" i="8"/>
  <c r="D9" i="8"/>
  <c r="D8" i="8"/>
  <c r="D7" i="8"/>
  <c r="D6" i="8"/>
  <c r="D5" i="8"/>
  <c r="D4" i="8"/>
  <c r="D3" i="8"/>
  <c r="D4" i="4" l="1"/>
  <c r="D5" i="4" l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C5" i="6" s="1"/>
  <c r="C4" i="6" l="1"/>
  <c r="E4" i="4" l="1"/>
  <c r="H4" i="4" s="1"/>
  <c r="D3" i="5" s="1"/>
  <c r="E3" i="5" s="1"/>
  <c r="F3" i="5" s="1"/>
  <c r="E5" i="4" l="1"/>
  <c r="H5" i="4" s="1"/>
  <c r="D4" i="5" s="1"/>
  <c r="E4" i="5" s="1"/>
  <c r="G3" i="5"/>
  <c r="F4" i="5" l="1"/>
  <c r="G4" i="5" s="1"/>
  <c r="J4" i="5" s="1"/>
  <c r="E6" i="4"/>
  <c r="J3" i="5"/>
  <c r="I3" i="5"/>
  <c r="C3" i="8"/>
  <c r="I4" i="5" l="1"/>
  <c r="C4" i="8"/>
  <c r="E7" i="4"/>
  <c r="H6" i="4"/>
  <c r="D5" i="5" s="1"/>
  <c r="E5" i="5" s="1"/>
  <c r="C5" i="13"/>
  <c r="G4" i="6"/>
  <c r="E4" i="8"/>
  <c r="E3" i="8"/>
  <c r="C4" i="13"/>
  <c r="G3" i="6"/>
  <c r="F5" i="5" l="1"/>
  <c r="G5" i="5" s="1"/>
  <c r="J5" i="5" s="1"/>
  <c r="E5" i="8" s="1"/>
  <c r="E8" i="4"/>
  <c r="H7" i="4"/>
  <c r="D6" i="5" s="1"/>
  <c r="E6" i="5" s="1"/>
  <c r="C5" i="8" l="1"/>
  <c r="C6" i="13"/>
  <c r="G5" i="6"/>
  <c r="I5" i="5"/>
  <c r="F6" i="5"/>
  <c r="G6" i="5" s="1"/>
  <c r="C6" i="8" s="1"/>
  <c r="E9" i="4"/>
  <c r="H8" i="4"/>
  <c r="D7" i="5" s="1"/>
  <c r="E7" i="5" s="1"/>
  <c r="J6" i="5" l="1"/>
  <c r="E6" i="8" s="1"/>
  <c r="I6" i="5"/>
  <c r="F7" i="5"/>
  <c r="G7" i="5" s="1"/>
  <c r="J7" i="5" s="1"/>
  <c r="E10" i="4"/>
  <c r="H9" i="4"/>
  <c r="D8" i="5" s="1"/>
  <c r="E8" i="5" s="1"/>
  <c r="G6" i="6" l="1"/>
  <c r="C7" i="13"/>
  <c r="I7" i="5"/>
  <c r="C7" i="8"/>
  <c r="F8" i="5"/>
  <c r="G8" i="5" s="1"/>
  <c r="C8" i="8" s="1"/>
  <c r="E7" i="8"/>
  <c r="G7" i="6"/>
  <c r="C8" i="13"/>
  <c r="E11" i="4"/>
  <c r="H10" i="4"/>
  <c r="D9" i="5" s="1"/>
  <c r="E9" i="5" s="1"/>
  <c r="I8" i="5" l="1"/>
  <c r="J8" i="5"/>
  <c r="C9" i="13" s="1"/>
  <c r="F9" i="5"/>
  <c r="G9" i="5" s="1"/>
  <c r="C9" i="8" s="1"/>
  <c r="H11" i="4"/>
  <c r="D10" i="5" s="1"/>
  <c r="E10" i="5" s="1"/>
  <c r="E12" i="4"/>
  <c r="G8" i="6" l="1"/>
  <c r="E8" i="8"/>
  <c r="J9" i="5"/>
  <c r="C10" i="13" s="1"/>
  <c r="I9" i="5"/>
  <c r="F10" i="5"/>
  <c r="G10" i="5" s="1"/>
  <c r="C10" i="8" s="1"/>
  <c r="H12" i="4"/>
  <c r="D11" i="5" s="1"/>
  <c r="E11" i="5" s="1"/>
  <c r="E13" i="4"/>
  <c r="G9" i="6" l="1"/>
  <c r="E9" i="8"/>
  <c r="I10" i="5"/>
  <c r="J10" i="5"/>
  <c r="E10" i="8" s="1"/>
  <c r="F11" i="5"/>
  <c r="G11" i="5" s="1"/>
  <c r="C11" i="8" s="1"/>
  <c r="E14" i="4"/>
  <c r="H13" i="4"/>
  <c r="D12" i="5" s="1"/>
  <c r="E12" i="5" s="1"/>
  <c r="G10" i="6" l="1"/>
  <c r="C11" i="13"/>
  <c r="I11" i="5"/>
  <c r="J11" i="5"/>
  <c r="E11" i="8" s="1"/>
  <c r="F12" i="5"/>
  <c r="G12" i="5" s="1"/>
  <c r="I12" i="5" s="1"/>
  <c r="H14" i="4"/>
  <c r="D13" i="5" s="1"/>
  <c r="E13" i="5" s="1"/>
  <c r="E15" i="4"/>
  <c r="G11" i="6" l="1"/>
  <c r="C12" i="13"/>
  <c r="C12" i="8"/>
  <c r="J12" i="5"/>
  <c r="C13" i="13" s="1"/>
  <c r="F13" i="5"/>
  <c r="G13" i="5" s="1"/>
  <c r="J13" i="5" s="1"/>
  <c r="E16" i="4"/>
  <c r="H15" i="4"/>
  <c r="D14" i="5" s="1"/>
  <c r="E14" i="5" s="1"/>
  <c r="E12" i="8" l="1"/>
  <c r="G12" i="6"/>
  <c r="C13" i="8"/>
  <c r="I13" i="5"/>
  <c r="F14" i="5"/>
  <c r="G14" i="5" s="1"/>
  <c r="J14" i="5" s="1"/>
  <c r="E17" i="4"/>
  <c r="H16" i="4"/>
  <c r="D15" i="5" s="1"/>
  <c r="E15" i="5" s="1"/>
  <c r="G13" i="6"/>
  <c r="E13" i="8"/>
  <c r="C14" i="13"/>
  <c r="I14" i="5" l="1"/>
  <c r="C14" i="8"/>
  <c r="F15" i="5"/>
  <c r="G15" i="5" s="1"/>
  <c r="J15" i="5" s="1"/>
  <c r="E14" i="8"/>
  <c r="G14" i="6"/>
  <c r="C15" i="13"/>
  <c r="E18" i="4"/>
  <c r="H17" i="4"/>
  <c r="D16" i="5" s="1"/>
  <c r="E16" i="5" s="1"/>
  <c r="I15" i="5" l="1"/>
  <c r="C15" i="8"/>
  <c r="F16" i="5"/>
  <c r="G16" i="5" s="1"/>
  <c r="C16" i="8" s="1"/>
  <c r="E15" i="8"/>
  <c r="G15" i="6"/>
  <c r="C16" i="13"/>
  <c r="H18" i="4"/>
  <c r="D17" i="5" s="1"/>
  <c r="E17" i="5" s="1"/>
  <c r="E19" i="4"/>
  <c r="I16" i="5" l="1"/>
  <c r="J16" i="5"/>
  <c r="C17" i="13" s="1"/>
  <c r="F17" i="5"/>
  <c r="G17" i="5" s="1"/>
  <c r="J17" i="5" s="1"/>
  <c r="E20" i="4"/>
  <c r="H19" i="4"/>
  <c r="D18" i="5" s="1"/>
  <c r="E18" i="5" s="1"/>
  <c r="E16" i="8" l="1"/>
  <c r="G16" i="6"/>
  <c r="I17" i="5"/>
  <c r="C17" i="8"/>
  <c r="F18" i="5"/>
  <c r="G18" i="5" s="1"/>
  <c r="I18" i="5" s="1"/>
  <c r="E21" i="4"/>
  <c r="H20" i="4"/>
  <c r="D19" i="5" s="1"/>
  <c r="E19" i="5" s="1"/>
  <c r="G17" i="6"/>
  <c r="C18" i="13"/>
  <c r="E17" i="8"/>
  <c r="J18" i="5" l="1"/>
  <c r="C19" i="13" s="1"/>
  <c r="C18" i="8"/>
  <c r="F19" i="5"/>
  <c r="G19" i="5" s="1"/>
  <c r="I19" i="5" s="1"/>
  <c r="E22" i="4"/>
  <c r="H21" i="4"/>
  <c r="D20" i="5" s="1"/>
  <c r="E20" i="5" s="1"/>
  <c r="F20" i="5" s="1"/>
  <c r="E18" i="8" l="1"/>
  <c r="G18" i="6"/>
  <c r="C19" i="8"/>
  <c r="J19" i="5"/>
  <c r="G19" i="6" s="1"/>
  <c r="G20" i="5"/>
  <c r="E23" i="4"/>
  <c r="H22" i="4"/>
  <c r="D21" i="5" s="1"/>
  <c r="E21" i="5" s="1"/>
  <c r="C20" i="13" l="1"/>
  <c r="E19" i="8"/>
  <c r="F21" i="5"/>
  <c r="G21" i="5" s="1"/>
  <c r="I21" i="5" s="1"/>
  <c r="J20" i="5"/>
  <c r="I20" i="5"/>
  <c r="C20" i="8"/>
  <c r="E24" i="4"/>
  <c r="H23" i="4"/>
  <c r="D22" i="5" s="1"/>
  <c r="E22" i="5" s="1"/>
  <c r="C21" i="8" l="1"/>
  <c r="J21" i="5"/>
  <c r="G21" i="6" s="1"/>
  <c r="F22" i="5"/>
  <c r="G22" i="5" s="1"/>
  <c r="J22" i="5" s="1"/>
  <c r="H24" i="4"/>
  <c r="D23" i="5" s="1"/>
  <c r="E23" i="5" s="1"/>
  <c r="E25" i="4"/>
  <c r="E20" i="8"/>
  <c r="G20" i="6"/>
  <c r="C21" i="13"/>
  <c r="C22" i="13" l="1"/>
  <c r="E21" i="8"/>
  <c r="C22" i="8"/>
  <c r="I22" i="5"/>
  <c r="F23" i="5"/>
  <c r="G23" i="5" s="1"/>
  <c r="J23" i="5" s="1"/>
  <c r="E26" i="4"/>
  <c r="H25" i="4"/>
  <c r="D24" i="5" s="1"/>
  <c r="E24" i="5" s="1"/>
  <c r="C23" i="13"/>
  <c r="E22" i="8"/>
  <c r="G22" i="6"/>
  <c r="C23" i="8" l="1"/>
  <c r="I23" i="5"/>
  <c r="F24" i="5"/>
  <c r="G24" i="5" s="1"/>
  <c r="I24" i="5" s="1"/>
  <c r="G23" i="6"/>
  <c r="E23" i="8"/>
  <c r="C24" i="13"/>
  <c r="H26" i="4"/>
  <c r="D25" i="5" s="1"/>
  <c r="E25" i="5" s="1"/>
  <c r="E27" i="4"/>
  <c r="C24" i="8" l="1"/>
  <c r="J24" i="5"/>
  <c r="C25" i="13" s="1"/>
  <c r="F25" i="5"/>
  <c r="G25" i="5" s="1"/>
  <c r="I25" i="5" s="1"/>
  <c r="E28" i="4"/>
  <c r="H27" i="4"/>
  <c r="D26" i="5" s="1"/>
  <c r="E26" i="5" s="1"/>
  <c r="C25" i="8" l="1"/>
  <c r="E24" i="8"/>
  <c r="G24" i="6"/>
  <c r="J25" i="5"/>
  <c r="C26" i="13" s="1"/>
  <c r="F26" i="5"/>
  <c r="G26" i="5" s="1"/>
  <c r="C26" i="8" s="1"/>
  <c r="H28" i="4"/>
  <c r="D27" i="5" s="1"/>
  <c r="E27" i="5" s="1"/>
  <c r="E29" i="4"/>
  <c r="G25" i="6" l="1"/>
  <c r="E25" i="8"/>
  <c r="I26" i="5"/>
  <c r="J26" i="5"/>
  <c r="G26" i="6" s="1"/>
  <c r="F27" i="5"/>
  <c r="G27" i="5" s="1"/>
  <c r="I27" i="5" s="1"/>
  <c r="E30" i="4"/>
  <c r="H29" i="4"/>
  <c r="D28" i="5" s="1"/>
  <c r="E28" i="5" s="1"/>
  <c r="F28" i="5" s="1"/>
  <c r="E26" i="8" l="1"/>
  <c r="C27" i="13"/>
  <c r="C27" i="8"/>
  <c r="J27" i="5"/>
  <c r="C28" i="13" s="1"/>
  <c r="G28" i="5"/>
  <c r="E31" i="4"/>
  <c r="H30" i="4"/>
  <c r="D29" i="5" s="1"/>
  <c r="E29" i="5" s="1"/>
  <c r="E27" i="8" l="1"/>
  <c r="G27" i="6"/>
  <c r="F29" i="5"/>
  <c r="G29" i="5" s="1"/>
  <c r="I29" i="5" s="1"/>
  <c r="I28" i="5"/>
  <c r="J28" i="5"/>
  <c r="C28" i="8"/>
  <c r="E32" i="4"/>
  <c r="H31" i="4"/>
  <c r="D30" i="5" s="1"/>
  <c r="E30" i="5" s="1"/>
  <c r="F30" i="5" s="1"/>
  <c r="J29" i="5" l="1"/>
  <c r="C30" i="13" s="1"/>
  <c r="C29" i="8"/>
  <c r="G30" i="5"/>
  <c r="E28" i="8"/>
  <c r="C29" i="13"/>
  <c r="G28" i="6"/>
  <c r="H32" i="4"/>
  <c r="D31" i="5" s="1"/>
  <c r="E31" i="5" s="1"/>
  <c r="E33" i="4"/>
  <c r="E29" i="8" l="1"/>
  <c r="G29" i="6"/>
  <c r="F31" i="5"/>
  <c r="G31" i="5" s="1"/>
  <c r="C31" i="8" s="1"/>
  <c r="I30" i="5"/>
  <c r="C30" i="8"/>
  <c r="J30" i="5"/>
  <c r="H33" i="4"/>
  <c r="D32" i="5" s="1"/>
  <c r="E32" i="5" s="1"/>
  <c r="E34" i="4"/>
  <c r="I31" i="5" l="1"/>
  <c r="J31" i="5"/>
  <c r="E31" i="8" s="1"/>
  <c r="F32" i="5"/>
  <c r="G32" i="5" s="1"/>
  <c r="J32" i="5" s="1"/>
  <c r="H34" i="4"/>
  <c r="D33" i="5" s="1"/>
  <c r="E33" i="5" s="1"/>
  <c r="E35" i="4"/>
  <c r="G30" i="6"/>
  <c r="C31" i="13"/>
  <c r="E30" i="8"/>
  <c r="C32" i="13" l="1"/>
  <c r="G31" i="6"/>
  <c r="C32" i="8"/>
  <c r="I32" i="5"/>
  <c r="F33" i="5"/>
  <c r="G33" i="5" s="1"/>
  <c r="C33" i="8" s="1"/>
  <c r="H35" i="4"/>
  <c r="D34" i="5" s="1"/>
  <c r="E34" i="5" s="1"/>
  <c r="E36" i="4"/>
  <c r="C33" i="13"/>
  <c r="E32" i="8"/>
  <c r="G32" i="6"/>
  <c r="J33" i="5" l="1"/>
  <c r="G33" i="6" s="1"/>
  <c r="I33" i="5"/>
  <c r="F34" i="5"/>
  <c r="G34" i="5" s="1"/>
  <c r="C34" i="8" s="1"/>
  <c r="H36" i="4"/>
  <c r="D35" i="5" s="1"/>
  <c r="E35" i="5" s="1"/>
  <c r="E37" i="4"/>
  <c r="C34" i="13" l="1"/>
  <c r="E33" i="8"/>
  <c r="I34" i="5"/>
  <c r="J34" i="5"/>
  <c r="G34" i="6" s="1"/>
  <c r="F35" i="5"/>
  <c r="G35" i="5" s="1"/>
  <c r="I35" i="5" s="1"/>
  <c r="H37" i="4"/>
  <c r="D36" i="5" s="1"/>
  <c r="E36" i="5" s="1"/>
  <c r="E38" i="4"/>
  <c r="H38" i="4" s="1"/>
  <c r="D37" i="5" s="1"/>
  <c r="E37" i="5" s="1"/>
  <c r="J35" i="5" l="1"/>
  <c r="C36" i="13" s="1"/>
  <c r="E34" i="8"/>
  <c r="C35" i="13"/>
  <c r="C35" i="8"/>
  <c r="F37" i="5"/>
  <c r="G37" i="5" s="1"/>
  <c r="I37" i="5" s="1"/>
  <c r="F36" i="5"/>
  <c r="G36" i="5" s="1"/>
  <c r="J36" i="5" s="1"/>
  <c r="G35" i="6" l="1"/>
  <c r="E35" i="8"/>
  <c r="I36" i="5"/>
  <c r="C36" i="8"/>
  <c r="J37" i="5"/>
  <c r="C6" i="6" s="1"/>
  <c r="C37" i="8"/>
  <c r="C37" i="13"/>
  <c r="G36" i="6"/>
  <c r="E36" i="8"/>
  <c r="E37" i="8" l="1"/>
  <c r="C38" i="13"/>
  <c r="C41" i="13" s="1"/>
  <c r="G37" i="6"/>
  <c r="I42" i="13" l="1"/>
  <c r="H42" i="13"/>
  <c r="K42" i="13"/>
  <c r="G42" i="13"/>
  <c r="L42" i="13"/>
  <c r="M42" i="13"/>
  <c r="J42" i="13"/>
  <c r="D42" i="13"/>
  <c r="F42" i="13"/>
  <c r="E42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<sst xmlns="http://schemas.openxmlformats.org/spreadsheetml/2006/main" count="786" uniqueCount="705">
  <si>
    <t>Year</t>
  </si>
  <si>
    <t>Total Population</t>
  </si>
  <si>
    <t>Forcast Total Population</t>
  </si>
  <si>
    <t>Lower Confidence Bound</t>
  </si>
  <si>
    <t>Upper Confidence Bound</t>
  </si>
  <si>
    <t>Documentation</t>
  </si>
  <si>
    <t>&lt;input&gt;</t>
  </si>
  <si>
    <t>=FORECAST(B29,$C$3:$C$28,$B$3:$B$28)</t>
  </si>
  <si>
    <t>=D29-FORECAST.ETS.CONFINT(B29,$C$3:$C$28,$B$3:$B$28,0.95,1,1)</t>
  </si>
  <si>
    <t>=D29+FORECAST.ETS.CONFINT(B29,$C$3:$C$28,$B$3:$B$28,0.95,1,1)</t>
  </si>
  <si>
    <t>Total Consumption (litres/day)^</t>
  </si>
  <si>
    <t>Forcast Total Consumption(litres/day)^</t>
  </si>
  <si>
    <t>Low_L_per_day</t>
  </si>
  <si>
    <t>High_L_per_day</t>
  </si>
  <si>
    <t>=FORECAST(B13,$C$3:$C$12,$B$3:$B$12)</t>
  </si>
  <si>
    <t>=D13-FORECAST.ETS.CONFINT(B13,$C$3:$C$12,$B$3:$B$12,0.95,1,1)</t>
  </si>
  <si>
    <t>=D13+FORECAST.ETS.CONFINT(B13,$C$3:$C$12,$B$3:$B$12,0.95,1,1)</t>
  </si>
  <si>
    <t>Tariff_$per_m3</t>
  </si>
  <si>
    <t>Forecast Tariff_$per_m</t>
  </si>
  <si>
    <t>Elasticity</t>
  </si>
  <si>
    <t>TariffIncrease_%</t>
  </si>
  <si>
    <t>Consumption before tariff</t>
  </si>
  <si>
    <t>AdjustedConsumption_L_per_day</t>
  </si>
  <si>
    <t>=D4*(1+F5)</t>
  </si>
  <si>
    <t>='Sensitivity Analysis'!C39</t>
  </si>
  <si>
    <t>=Optimization!F3:F37</t>
  </si>
  <si>
    <t>=IF(Optimization!$C$3=Optimization!$I$3,Inputs_Consumption!D13,IF(Optimization!$C$3=Optimization!$I$4,Inputs_Consumption!E13,Inputs_Consumption!F13))</t>
  </si>
  <si>
    <t>LocalCatchment_m3</t>
  </si>
  <si>
    <t>Imported_m3</t>
  </si>
  <si>
    <t>NEWater_m3</t>
  </si>
  <si>
    <t>Desalination_m3</t>
  </si>
  <si>
    <t>TotalSupply_m3</t>
  </si>
  <si>
    <t>MGD to M3</t>
  </si>
  <si>
    <t>Subtotal (Desal)</t>
  </si>
  <si>
    <t>Subtotal (NEWater)</t>
  </si>
  <si>
    <t>Year ('25, '27, '35)</t>
  </si>
  <si>
    <t>Cap factor (%) (80, 90, 95)</t>
  </si>
  <si>
    <t>Plant</t>
  </si>
  <si>
    <t>Type</t>
  </si>
  <si>
    <t>Opened</t>
  </si>
  <si>
    <t>Capacity (mgd)</t>
  </si>
  <si>
    <t>Production (mgd)</t>
  </si>
  <si>
    <t>Production (m3d)</t>
  </si>
  <si>
    <t>Cost ($m)</t>
  </si>
  <si>
    <t>SingSpring (Tuas)</t>
  </si>
  <si>
    <t>Desal</t>
  </si>
  <si>
    <t>Tuas South</t>
  </si>
  <si>
    <t>Tuas Desalination Plant</t>
  </si>
  <si>
    <t>Keppel Marina East</t>
  </si>
  <si>
    <t>NA</t>
  </si>
  <si>
    <t>Jurong Island</t>
  </si>
  <si>
    <t>Kranji</t>
  </si>
  <si>
    <t>NEWater</t>
  </si>
  <si>
    <t>Ulu Pandan</t>
  </si>
  <si>
    <t>Changi (Sembcorp)</t>
  </si>
  <si>
    <t>Changi (BEWG)</t>
  </si>
  <si>
    <t>Tuas Nexus</t>
  </si>
  <si>
    <t>Changi</t>
  </si>
  <si>
    <t xml:space="preserve">Helper cells for Local Catchment Supply </t>
  </si>
  <si>
    <t xml:space="preserve">ADD GRAPH </t>
  </si>
  <si>
    <t>Base year</t>
  </si>
  <si>
    <t>Model start year</t>
  </si>
  <si>
    <t>Singapore land area (km2)</t>
  </si>
  <si>
    <t>https://data.gov.sg/datasets/d_f74e5ee9575e98ba439bee67e8f9b097/view?dataExplorerPage=7</t>
  </si>
  <si>
    <t>Singapore catchment area (km2)</t>
  </si>
  <si>
    <t>2/3 of land area</t>
  </si>
  <si>
    <t>https://www.pub.gov.sg/Public/WaterLoop/OurWaterStory/Local-Catchment-Water</t>
  </si>
  <si>
    <t>Mean annual rainfall (mm)</t>
  </si>
  <si>
    <t>Rainfall mean (m)</t>
  </si>
  <si>
    <t>Effective Yield Coefficient</t>
  </si>
  <si>
    <t>portion of rainfall that ends up in reservoir supply, calibrated from 2001 research study</t>
  </si>
  <si>
    <t>https://rsis.edu.sg/rsis-publication/rsis/516-singapore-malaysia-and-the-wa/</t>
  </si>
  <si>
    <t>BaselineCatchment (m3) for 2025</t>
  </si>
  <si>
    <t xml:space="preserve">Yield = Rainfall_mean_m × Area_catchment_km2 × 1,000,000 (m² per km²)
        × Runoff_coeff × Capture_eff  </t>
  </si>
  <si>
    <t xml:space="preserve">Annual climate trend % </t>
  </si>
  <si>
    <t>Select option</t>
  </si>
  <si>
    <t>Year-to-year rainfall variability %</t>
  </si>
  <si>
    <t>Inter-annual variability in rainfall, derived from the historial annual rainfall dataset from 1982-2005</t>
  </si>
  <si>
    <t>Floor_m3</t>
  </si>
  <si>
    <t>lower bound for dry years, prevent negatives in extreme draws</t>
  </si>
  <si>
    <t>Sigma of a lognormal shock</t>
  </si>
  <si>
    <t>Source: sheet RainfallMonthlyTotal from National Environment Agency -  https://data.gov.sg/datasets/d_b16d06b83473fdfcc92ed9d37b66ba58/view</t>
  </si>
  <si>
    <t>Mean annual rainfall by 2001 (m)</t>
  </si>
  <si>
    <t>Daily water collected from rainfall (m3)</t>
  </si>
  <si>
    <t>Yearly water collected from rainfall (m3)</t>
  </si>
  <si>
    <t>Catchment area around 2001 (km2)</t>
  </si>
  <si>
    <t xml:space="preserve">Helper cell for Imported water </t>
  </si>
  <si>
    <t>Imported cap (mgd)</t>
  </si>
  <si>
    <t>Under the 1962 Water Agreement, Singapore can draw up to 250 million gallons of water a day from the Johor River (ends 2061)</t>
  </si>
  <si>
    <t>Imported reliability factor</t>
  </si>
  <si>
    <t>Assumption: In a normal (non-outage) year, Singapore does not always draw the full 250 mgd contractual cap. This is to account for any operational/seasonal constraints, water-quality/rainfall variability in Johor, maintenance and demand balancing with NEWater/desalination.</t>
  </si>
  <si>
    <t>Imported annual outage prob</t>
  </si>
  <si>
    <t xml:space="preserve">Chance of disruption in a year </t>
  </si>
  <si>
    <t xml:space="preserve">Imported outage severity </t>
  </si>
  <si>
    <t>Reduction in that year if outage hits. Assumption: In any given year, there’s a 5% chance that imports are partially curtailed by 40% for a meaningful period (not the whole year), reflecting possible river-level/quality issues, infrastructure faults, or cross-border constraints. We model this as a single Bernoulli draw per year for simplicity.</t>
  </si>
  <si>
    <t>Expiry year</t>
  </si>
  <si>
    <t>Effective Reliability</t>
  </si>
  <si>
    <t>Use Monte Carlo or not?</t>
  </si>
  <si>
    <r>
      <rPr>
        <b/>
        <sz val="11"/>
        <color theme="1"/>
        <rFont val="Calibri"/>
        <family val="2"/>
        <scheme val="minor"/>
      </rPr>
      <t>Monte Carlo is used where uncertainty is material</t>
    </r>
    <r>
      <rPr>
        <sz val="11"/>
        <color theme="1"/>
        <rFont val="Calibri"/>
        <family val="2"/>
        <scheme val="minor"/>
      </rPr>
      <t>: hydro-climate drives Local Catchment (rainfall CV ≈ 20%), and policy/operational risks drive Imported (annual outage risk).</t>
    </r>
  </si>
  <si>
    <r>
      <t xml:space="preserve">This toggle </t>
    </r>
    <r>
      <rPr>
        <b/>
        <sz val="11"/>
        <color theme="1"/>
        <rFont val="Calibri"/>
        <family val="2"/>
        <scheme val="minor"/>
      </rPr>
      <t>show both</t>
    </r>
    <r>
      <rPr>
        <sz val="11"/>
        <color theme="1"/>
        <rFont val="Calibri"/>
        <family val="2"/>
        <scheme val="minor"/>
      </rPr>
      <t>: stable baseline (toggle=0) and Monte Carlo behaviour (toggle=1).</t>
    </r>
  </si>
  <si>
    <t>month</t>
  </si>
  <si>
    <t>total_rainfall</t>
  </si>
  <si>
    <t>Annual Rainfall (mm)</t>
  </si>
  <si>
    <t xml:space="preserve">Source: </t>
  </si>
  <si>
    <t>1982-01</t>
  </si>
  <si>
    <t>https://data.gov.sg/datasets/d_b16d06b83473fdfcc92ed9d37b66ba58/view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</si>
  <si>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</si>
  <si>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</si>
  <si>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</si>
  <si>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</si>
  <si>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</si>
  <si>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</si>
  <si>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</si>
  <si>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</si>
  <si>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</si>
  <si>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</si>
  <si>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</si>
  <si>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</si>
  <si>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</si>
  <si>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</si>
  <si>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</si>
  <si>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</si>
  <si>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</si>
  <si>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</si>
  <si>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</si>
  <si>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</si>
  <si>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</si>
  <si>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</si>
  <si>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</si>
  <si>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</si>
  <si>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</si>
  <si>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</si>
  <si>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</si>
  <si>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</si>
  <si>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</si>
  <si>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</si>
  <si>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</si>
  <si>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</si>
  <si>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</si>
  <si>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</si>
  <si>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</si>
  <si>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</si>
  <si>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</si>
  <si>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</si>
  <si>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</si>
  <si>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</si>
  <si>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</si>
  <si>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</si>
  <si>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</si>
  <si>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</si>
  <si>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</si>
  <si>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</si>
  <si>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</si>
  <si>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</si>
  <si>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</si>
  <si>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</si>
  <si>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</si>
  <si>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</si>
  <si>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</si>
  <si>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</si>
  <si>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</si>
  <si>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</si>
  <si>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</si>
  <si>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</si>
  <si>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</si>
  <si>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</si>
  <si>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</si>
  <si>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</si>
  <si>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</si>
  <si>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</si>
  <si>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</si>
  <si>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</si>
  <si>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</si>
  <si>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</si>
  <si>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</si>
  <si>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</si>
  <si>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</si>
  <si>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</si>
  <si>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</si>
  <si>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</si>
  <si>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</si>
  <si>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</si>
  <si>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</si>
  <si>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</si>
  <si>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</si>
  <si>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</si>
  <si>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</si>
  <si>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</si>
  <si>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</si>
  <si>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</si>
  <si>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</si>
  <si>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</si>
  <si>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</si>
  <si>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</si>
  <si>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</si>
  <si>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</si>
  <si>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</si>
  <si>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</si>
  <si>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</si>
  <si>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</si>
  <si>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</si>
  <si>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</si>
  <si>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</si>
  <si>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</si>
  <si>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</si>
  <si>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</si>
  <si>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</si>
  <si>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</si>
  <si>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</si>
  <si>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</si>
  <si>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</si>
  <si>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</si>
  <si>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</si>
  <si>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</si>
  <si>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</si>
  <si>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</si>
  <si>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</si>
  <si>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</si>
  <si>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</si>
  <si>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</si>
  <si>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</si>
  <si>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</si>
  <si>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</si>
  <si>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</si>
  <si>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</si>
  <si>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</si>
  <si>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</si>
  <si>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</si>
  <si>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</si>
  <si>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</si>
  <si>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</si>
  <si>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</si>
  <si>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</si>
  <si>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</si>
  <si>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</si>
  <si>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</si>
  <si>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</si>
  <si>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</si>
  <si>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</si>
  <si>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</si>
  <si>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</si>
  <si>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</si>
  <si>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</si>
  <si>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</si>
  <si>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</si>
  <si>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</si>
  <si>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</si>
  <si>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</si>
  <si>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</si>
  <si>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</si>
  <si>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</si>
  <si>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</si>
  <si>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</si>
  <si>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</si>
  <si>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</si>
  <si>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</si>
  <si>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</si>
  <si>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</si>
  <si>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</si>
  <si>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</si>
  <si>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</si>
  <si>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</si>
  <si>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</si>
  <si>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</si>
  <si>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</si>
  <si>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</si>
  <si>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</si>
  <si>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</si>
  <si>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</si>
  <si>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</si>
  <si>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</si>
  <si>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</si>
  <si>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</si>
  <si>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</si>
  <si>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</si>
  <si>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</si>
  <si>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</si>
  <si>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</si>
  <si>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</si>
  <si>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</si>
  <si>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</si>
  <si>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</si>
  <si>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</si>
  <si>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</si>
  <si>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</si>
  <si>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</si>
  <si>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</si>
  <si>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</si>
  <si>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</si>
  <si>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</si>
  <si>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</si>
  <si>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</si>
  <si>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</si>
  <si>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</si>
  <si>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</si>
  <si>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</si>
  <si>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</si>
  <si>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</si>
  <si>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</si>
  <si>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</si>
  <si>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</si>
  <si>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</si>
  <si>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</si>
  <si>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</si>
  <si>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</si>
  <si>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</si>
  <si>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</si>
  <si>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</si>
  <si>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</si>
  <si>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</si>
  <si>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</si>
  <si>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</si>
  <si>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</si>
  <si>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</si>
  <si>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</si>
  <si>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</si>
  <si>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</si>
  <si>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</si>
  <si>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</si>
  <si>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</si>
  <si>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</si>
  <si>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</si>
  <si>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</si>
  <si>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</si>
  <si>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</si>
  <si>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</si>
  <si>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</si>
  <si>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</si>
  <si>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</si>
  <si>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</si>
  <si>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</si>
  <si>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</si>
  <si>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</si>
  <si>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</si>
  <si>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</si>
  <si>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</si>
  <si>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</si>
  <si>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</si>
  <si>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</si>
  <si>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</si>
  <si>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</si>
  <si>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</si>
  <si>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</si>
  <si>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</si>
  <si>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</si>
  <si>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</si>
  <si>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</si>
  <si>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</si>
  <si>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</si>
  <si>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</si>
  <si>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</si>
  <si>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</si>
  <si>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</si>
  <si>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</si>
  <si>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</si>
  <si>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</si>
  <si>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</si>
  <si>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</si>
  <si>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</si>
  <si>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</si>
  <si>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</si>
  <si>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</si>
  <si>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</si>
  <si>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</si>
  <si>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</si>
  <si>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</si>
  <si>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</si>
  <si>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</si>
  <si>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</si>
  <si>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</si>
  <si>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</si>
  <si>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</si>
  <si>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</si>
  <si>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</si>
  <si>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</si>
  <si>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</si>
  <si>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</si>
  <si>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</si>
  <si>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</si>
  <si>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</si>
  <si>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</si>
  <si>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</si>
  <si>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</si>
  <si>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</si>
  <si>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</si>
  <si>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</si>
  <si>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</si>
  <si>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</si>
  <si>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</si>
  <si>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</si>
  <si>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</si>
  <si>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</si>
  <si>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</si>
  <si>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</si>
  <si>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</si>
  <si>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</si>
  <si>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</si>
  <si>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</si>
  <si>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</si>
  <si>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</si>
  <si>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</si>
  <si>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</si>
  <si>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</si>
  <si>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</si>
  <si>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</si>
  <si>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</si>
  <si>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</si>
  <si>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</si>
  <si>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</si>
  <si>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</si>
  <si>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</si>
  <si>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</si>
  <si>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</si>
  <si>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</si>
  <si>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</si>
  <si>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</si>
  <si>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</si>
  <si>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</si>
  <si>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</si>
  <si>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</si>
  <si>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</si>
  <si>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</si>
  <si>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</si>
  <si>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</si>
  <si>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</si>
  <si>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</si>
  <si>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</si>
  <si>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</si>
  <si>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</si>
  <si>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</si>
  <si>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</si>
  <si>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</si>
  <si>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</si>
  <si>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</si>
  <si>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</si>
  <si>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</si>
  <si>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</si>
  <si>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</si>
  <si>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</si>
  <si>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</si>
  <si>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</si>
  <si>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</si>
  <si>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</si>
  <si>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</si>
  <si>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</si>
  <si>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</si>
  <si>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</si>
  <si>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</si>
  <si>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</si>
  <si>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</si>
  <si>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</si>
  <si>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</si>
  <si>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</si>
  <si>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</si>
  <si>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</si>
  <si>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</si>
  <si>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</si>
  <si>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</si>
  <si>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</si>
  <si>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</si>
  <si>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</si>
  <si>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</si>
  <si>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</si>
  <si>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</si>
  <si>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</si>
  <si>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</si>
  <si>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</si>
  <si>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</si>
  <si>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</si>
  <si>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</si>
  <si>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</si>
  <si>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</si>
  <si>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</si>
  <si>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</si>
  <si>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</si>
  <si>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</si>
  <si>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</si>
  <si>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</si>
  <si>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</si>
  <si>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</si>
  <si>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</si>
  <si>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</si>
  <si>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</si>
  <si>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</si>
  <si>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</si>
  <si>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</si>
  <si>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</si>
  <si>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</si>
  <si>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</si>
  <si>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</si>
  <si>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</si>
  <si>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</si>
  <si>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</si>
  <si>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</si>
  <si>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</si>
  <si>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</si>
  <si>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</si>
  <si>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</si>
  <si>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</si>
  <si>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</si>
  <si>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</si>
  <si>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</si>
  <si>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</si>
  <si>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</si>
  <si>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</si>
  <si>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</si>
  <si>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</si>
  <si>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</si>
  <si>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</si>
  <si>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</si>
  <si>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</si>
  <si>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</si>
  <si>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</si>
  <si>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</si>
  <si>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</si>
  <si>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</si>
  <si>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</si>
  <si>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</si>
  <si>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</si>
  <si>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</si>
  <si>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</si>
  <si>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</si>
  <si>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</si>
  <si>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</si>
  <si>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</si>
  <si>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</si>
  <si>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</si>
  <si>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</si>
  <si>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</si>
  <si>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</si>
  <si>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</si>
  <si>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</si>
  <si>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</si>
  <si>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</si>
  <si>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</si>
  <si>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</si>
  <si>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</si>
  <si>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</si>
  <si>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</si>
  <si>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</si>
  <si>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</si>
  <si>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</si>
  <si>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</si>
  <si>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</si>
  <si>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</si>
  <si>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</si>
  <si>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</si>
  <si>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</si>
  <si>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</si>
  <si>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</si>
  <si>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</si>
  <si>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</si>
  <si>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</si>
  <si>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</si>
  <si>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</si>
  <si>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</si>
  <si>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</si>
  <si>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</si>
  <si>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</si>
  <si>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</si>
  <si>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</si>
  <si>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</si>
  <si>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</si>
  <si>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</si>
  <si>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</si>
  <si>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</si>
  <si>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</si>
  <si>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</si>
  <si>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</si>
  <si>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</si>
  <si>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</si>
  <si>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</si>
  <si>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</si>
  <si>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</si>
  <si>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</si>
  <si>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</si>
  <si>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</si>
  <si>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</si>
  <si>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</si>
  <si>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</si>
  <si>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</si>
  <si>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</si>
  <si>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</si>
  <si>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</si>
  <si>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</si>
  <si>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</si>
  <si>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</si>
  <si>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</si>
  <si>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</si>
  <si>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</si>
  <si>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</si>
  <si>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</si>
  <si>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</si>
  <si>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</si>
  <si>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</si>
  <si>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</si>
  <si>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</si>
  <si>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</si>
  <si>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</si>
  <si>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</si>
  <si>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</si>
  <si>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</si>
  <si>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</si>
  <si>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</si>
  <si>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</si>
  <si>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</si>
  <si>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</si>
  <si>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</si>
  <si>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</si>
  <si>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</si>
  <si>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</si>
  <si>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</si>
  <si>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</si>
  <si>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</si>
  <si>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</si>
  <si>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</si>
  <si>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</si>
  <si>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</si>
  <si>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</si>
  <si>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</si>
  <si>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</si>
  <si>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</si>
  <si>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</si>
  <si>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</si>
  <si>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</si>
  <si>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</si>
  <si>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</si>
  <si>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</si>
  <si>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</si>
  <si>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</si>
  <si>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Population</t>
  </si>
  <si>
    <t>PerCapitaConsumption_Lperday</t>
  </si>
  <si>
    <t>DomesticDemand_m3</t>
  </si>
  <si>
    <t>IndustrialDemand_m3</t>
  </si>
  <si>
    <t>TotalDemand_m3</t>
  </si>
  <si>
    <t>NetBalance_m3</t>
  </si>
  <si>
    <t>ReserveMargin_%</t>
  </si>
  <si>
    <t>C3:C37</t>
  </si>
  <si>
    <t>=Inputs_Population!D/E/F29:63 (depends on the scenario)</t>
  </si>
  <si>
    <t>D3:D37</t>
  </si>
  <si>
    <t>=Inputs_Consumption!D/E/F13:47 (depends on the scenario)</t>
  </si>
  <si>
    <t>E3:E37</t>
  </si>
  <si>
    <t>=C3*D3</t>
  </si>
  <si>
    <t>F3:F37</t>
  </si>
  <si>
    <t>=E3/45*55+(70-55)*(B3-2025)/35</t>
  </si>
  <si>
    <t>G3:G37</t>
  </si>
  <si>
    <t>=E3+F3</t>
  </si>
  <si>
    <t>H3:H37</t>
  </si>
  <si>
    <t>=Inputs_Supply!G3:G38</t>
  </si>
  <si>
    <t>I3:I37</t>
  </si>
  <si>
    <t>=H3-G3</t>
  </si>
  <si>
    <t>J3:H37</t>
  </si>
  <si>
    <t>=H3/G3-1</t>
  </si>
  <si>
    <t>Population Scenario</t>
  </si>
  <si>
    <t>Baseline</t>
  </si>
  <si>
    <t>Scenarios</t>
  </si>
  <si>
    <t>Consumption Scenario</t>
  </si>
  <si>
    <t>Tariff minimum</t>
  </si>
  <si>
    <t>Low</t>
  </si>
  <si>
    <t>Tariff maximum</t>
  </si>
  <si>
    <t>High</t>
  </si>
  <si>
    <t>Reserve margin minimum</t>
  </si>
  <si>
    <t>Tariff Increase</t>
  </si>
  <si>
    <t>Documentation for Solver</t>
  </si>
  <si>
    <t>Objective cell</t>
  </si>
  <si>
    <t>B3</t>
  </si>
  <si>
    <t>Minimize</t>
  </si>
  <si>
    <t>Changing cell</t>
  </si>
  <si>
    <t>F2:F36</t>
  </si>
  <si>
    <t>Constraints:</t>
  </si>
  <si>
    <t>C4</t>
  </si>
  <si>
    <t>&lt;optional input&gt;</t>
  </si>
  <si>
    <t>C5</t>
  </si>
  <si>
    <t>Reserve margin</t>
  </si>
  <si>
    <t>&gt;=10%</t>
  </si>
  <si>
    <t>Documentation2</t>
  </si>
  <si>
    <t>C2</t>
  </si>
  <si>
    <t>List from I3:I5</t>
  </si>
  <si>
    <t>C3</t>
  </si>
  <si>
    <t>=MIN(Inputs_Tariff!C4:C38)</t>
  </si>
  <si>
    <t>=MAX(Inputs_Tariff!C4:C38)</t>
  </si>
  <si>
    <t>C6</t>
  </si>
  <si>
    <t>=MIN(Model_Core!J3:J37)</t>
  </si>
  <si>
    <t>C7</t>
  </si>
  <si>
    <t>=AVERAGE(Inputs_Tariff!E4:E38)</t>
  </si>
  <si>
    <t>Sensitivity of Reserve Security to Tariff Elasticity</t>
  </si>
  <si>
    <t>Margin change</t>
  </si>
  <si>
    <t>Row input cell</t>
  </si>
  <si>
    <t xml:space="preserve">Note: </t>
  </si>
  <si>
    <t>Sensitivity Table</t>
  </si>
  <si>
    <t>C2:C37</t>
  </si>
  <si>
    <t>C39</t>
  </si>
  <si>
    <t>Margin change table</t>
  </si>
  <si>
    <t>Year selection</t>
  </si>
  <si>
    <t>B40</t>
  </si>
  <si>
    <t>List from B3:B37</t>
  </si>
  <si>
    <t>&gt;=1.1</t>
  </si>
  <si>
    <t>C40:M40</t>
  </si>
  <si>
    <t>=VLOOKUP($B$40,$B$3:$M$37,2,FALSE)</t>
  </si>
  <si>
    <t>C41:M41</t>
  </si>
  <si>
    <t>=(D40-$C$40)</t>
  </si>
  <si>
    <t>Cell 'Trade-off Analysis'!F3:F37 must be more than 0% for the Sensitivity Table to work</t>
  </si>
  <si>
    <t>Tariff Increase %</t>
  </si>
  <si>
    <t>B41</t>
  </si>
  <si>
    <t>="Tariff_Inc%: "&amp;TEXT(VLOOKUP(B40,'Trade-off Analysis'!E3:F37,2,0), "0%")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</si>
</sst>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.0000"/>
    <numFmt numFmtId="167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0"/>
      <color indexed="16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974706"/>
      <name val="Calibri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rgb="FF800000"/>
      <name val="Arial"/>
      <family val="2"/>
    </font>
    <font>
      <i/>
      <sz val="11"/>
      <color theme="5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0" fillId="0" borderId="0" xfId="0" quotePrefix="1"/>
    <xf numFmtId="0" fontId="5" fillId="0" borderId="0" xfId="3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6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left"/>
    </xf>
    <xf numFmtId="2" fontId="0" fillId="3" borderId="1" xfId="0" applyNumberFormat="1" applyFill="1" applyBorder="1" applyAlignment="1">
      <alignment horizontal="center"/>
    </xf>
    <xf numFmtId="2" fontId="0" fillId="3" borderId="1" xfId="2" applyNumberFormat="1" applyFont="1" applyFill="1" applyBorder="1" applyAlignment="1">
      <alignment horizontal="center"/>
    </xf>
    <xf numFmtId="0" fontId="9" fillId="0" borderId="0" xfId="0" applyFont="1"/>
    <xf numFmtId="9" fontId="9" fillId="0" borderId="0" xfId="0" applyNumberFormat="1" applyFont="1"/>
    <xf numFmtId="0" fontId="9" fillId="0" borderId="1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2" fillId="2" borderId="1" xfId="0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left"/>
    </xf>
    <xf numFmtId="0" fontId="10" fillId="4" borderId="0" xfId="0" applyFont="1" applyFill="1"/>
    <xf numFmtId="0" fontId="9" fillId="4" borderId="0" xfId="0" applyFont="1" applyFill="1"/>
    <xf numFmtId="0" fontId="0" fillId="4" borderId="0" xfId="0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5" fillId="0" borderId="0" xfId="0" quotePrefix="1" applyFont="1"/>
    <xf numFmtId="0" fontId="17" fillId="0" borderId="0" xfId="0" applyFont="1"/>
    <xf numFmtId="0" fontId="13" fillId="0" borderId="0" xfId="0" applyFont="1"/>
    <xf numFmtId="43" fontId="0" fillId="0" borderId="1" xfId="0" applyNumberFormat="1" applyBorder="1" applyAlignment="1">
      <alignment horizontal="center"/>
    </xf>
    <xf numFmtId="0" fontId="0" fillId="7" borderId="0" xfId="0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8" borderId="5" xfId="0" applyFill="1" applyBorder="1"/>
    <xf numFmtId="166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9" fillId="0" borderId="0" xfId="4"/>
    <xf numFmtId="0" fontId="9" fillId="0" borderId="0" xfId="4" applyAlignment="1">
      <alignment horizontal="center" vertical="center"/>
    </xf>
    <xf numFmtId="0" fontId="9" fillId="9" borderId="0" xfId="4" applyFill="1"/>
    <xf numFmtId="0" fontId="9" fillId="0" borderId="0" xfId="4" applyAlignment="1">
      <alignment horizontal="center"/>
    </xf>
    <xf numFmtId="0" fontId="18" fillId="0" borderId="0" xfId="4" applyFont="1"/>
    <xf numFmtId="0" fontId="18" fillId="0" borderId="0" xfId="4" applyFont="1" applyAlignment="1">
      <alignment horizontal="center" vertical="center"/>
    </xf>
    <xf numFmtId="0" fontId="18" fillId="0" borderId="0" xfId="4" applyFont="1" applyAlignment="1">
      <alignment horizontal="center"/>
    </xf>
    <xf numFmtId="0" fontId="18" fillId="9" borderId="0" xfId="4" applyFont="1" applyFill="1"/>
    <xf numFmtId="43" fontId="0" fillId="0" borderId="1" xfId="0" applyNumberFormat="1" applyBorder="1" applyAlignment="1">
      <alignment horizontal="center" wrapText="1"/>
    </xf>
    <xf numFmtId="0" fontId="19" fillId="0" borderId="0" xfId="0" applyFont="1"/>
    <xf numFmtId="0" fontId="13" fillId="0" borderId="0" xfId="0" applyFont="1" applyAlignment="1">
      <alignment horizontal="left"/>
    </xf>
    <xf numFmtId="43" fontId="13" fillId="0" borderId="0" xfId="0" quotePrefix="1" applyNumberFormat="1" applyFont="1" applyAlignment="1">
      <alignment horizontal="left"/>
    </xf>
    <xf numFmtId="164" fontId="13" fillId="0" borderId="0" xfId="0" quotePrefix="1" applyNumberFormat="1" applyFont="1" applyAlignment="1">
      <alignment horizontal="left"/>
    </xf>
    <xf numFmtId="0" fontId="13" fillId="0" borderId="0" xfId="0" quotePrefix="1" applyFont="1" applyAlignment="1">
      <alignment horizontal="left"/>
    </xf>
    <xf numFmtId="4" fontId="13" fillId="0" borderId="0" xfId="0" quotePrefix="1" applyNumberFormat="1" applyFont="1" applyAlignment="1">
      <alignment horizontal="left"/>
    </xf>
    <xf numFmtId="164" fontId="0" fillId="0" borderId="0" xfId="1" applyFont="1"/>
    <xf numFmtId="0" fontId="0" fillId="6" borderId="1" xfId="0" applyFill="1" applyBorder="1"/>
    <xf numFmtId="0" fontId="2" fillId="2" borderId="2" xfId="0" applyFont="1" applyFill="1" applyBorder="1" applyAlignment="1">
      <alignment horizontal="center"/>
    </xf>
    <xf numFmtId="165" fontId="0" fillId="6" borderId="1" xfId="2" applyNumberFormat="1" applyFont="1" applyFill="1" applyBorder="1"/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0" applyFont="1"/>
    <xf numFmtId="2" fontId="9" fillId="0" borderId="1" xfId="0" applyNumberFormat="1" applyFont="1" applyBorder="1" applyAlignment="1">
      <alignment horizontal="center"/>
    </xf>
    <xf numFmtId="9" fontId="9" fillId="0" borderId="1" xfId="2" applyFont="1" applyBorder="1" applyAlignment="1">
      <alignment horizontal="center"/>
    </xf>
    <xf numFmtId="165" fontId="0" fillId="0" borderId="0" xfId="2" applyNumberFormat="1" applyFont="1" applyBorder="1"/>
    <xf numFmtId="165" fontId="0" fillId="0" borderId="0" xfId="2" applyNumberFormat="1" applyFont="1" applyFill="1" applyBorder="1"/>
    <xf numFmtId="0" fontId="2" fillId="2" borderId="1" xfId="0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1" applyFon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165" fontId="0" fillId="6" borderId="1" xfId="2" applyNumberFormat="1" applyFont="1" applyFill="1" applyBorder="1" applyAlignment="1">
      <alignment horizontal="right"/>
    </xf>
    <xf numFmtId="0" fontId="21" fillId="0" borderId="0" xfId="0" applyFont="1" applyAlignment="1">
      <alignment horizontal="right"/>
    </xf>
    <xf numFmtId="0" fontId="21" fillId="0" borderId="0" xfId="0" applyFont="1"/>
    <xf numFmtId="0" fontId="0" fillId="7" borderId="1" xfId="0" applyFill="1" applyBorder="1" applyAlignment="1">
      <alignment horizontal="center"/>
    </xf>
    <xf numFmtId="164" fontId="0" fillId="3" borderId="1" xfId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0" borderId="1" xfId="0" applyNumberFormat="1" applyBorder="1"/>
    <xf numFmtId="10" fontId="0" fillId="6" borderId="1" xfId="2" applyNumberFormat="1" applyFont="1" applyFill="1" applyBorder="1"/>
    <xf numFmtId="10" fontId="0" fillId="0" borderId="1" xfId="2" applyNumberFormat="1" applyFont="1" applyBorder="1"/>
    <xf numFmtId="10" fontId="0" fillId="0" borderId="1" xfId="2" applyNumberFormat="1" applyFont="1" applyFill="1" applyBorder="1"/>
    <xf numFmtId="9" fontId="0" fillId="0" borderId="1" xfId="2" applyFont="1" applyBorder="1" applyAlignment="1">
      <alignment horizontal="center"/>
    </xf>
    <xf numFmtId="0" fontId="18" fillId="6" borderId="0" xfId="0" applyFont="1" applyFill="1" applyAlignment="1">
      <alignment horizontal="center"/>
    </xf>
    <xf numFmtId="167" fontId="0" fillId="0" borderId="0" xfId="0" applyNumberFormat="1"/>
    <xf numFmtId="167" fontId="2" fillId="2" borderId="1" xfId="0" applyNumberFormat="1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</cellXfs>
  <cellStyles count="5">
    <cellStyle name="Comma" xfId="1" builtinId="3"/>
    <cellStyle name="Hyperlink" xfId="3" builtinId="8"/>
    <cellStyle name="Normal" xfId="0" builtinId="0"/>
    <cellStyle name="Normal 2" xfId="4" xr:uid="{9BDA25AB-C25D-4535-9F04-263BFBDE743F}"/>
    <cellStyle name="Percent" xfId="2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and Forecast </a:t>
            </a:r>
          </a:p>
          <a:p>
            <a:pPr>
              <a:defRPr/>
            </a:pPr>
            <a:r>
              <a:rPr lang="en-US"/>
              <a:t>Total Population (Yearly)</a:t>
            </a:r>
          </a:p>
        </c:rich>
      </c:tx>
      <c:layout>
        <c:manualLayout>
          <c:xMode val="edge"/>
          <c:yMode val="edge"/>
          <c:x val="0.39247092412246898"/>
          <c:y val="3.88073922348401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336101476061479E-2"/>
          <c:y val="9.22260967211945E-2"/>
          <c:w val="0.87010670847378702"/>
          <c:h val="0.7840431981406869"/>
        </c:manualLayout>
      </c:layout>
      <c:lineChart>
        <c:grouping val="standard"/>
        <c:varyColors val="0"/>
        <c:ser>
          <c:idx val="0"/>
          <c:order val="0"/>
          <c:tx>
            <c:strRef>
              <c:f>Inputs_Population!$C$2</c:f>
              <c:strCache>
                <c:ptCount val="1"/>
                <c:pt idx="0">
                  <c:v>Total 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Inputs_Population!$B$3:$B$63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Inputs_Population!$C$3:$C$28</c:f>
              <c:numCache>
                <c:formatCode>_-* #,##0.00_-;\-* #,##0.00_-;_-* "-"??_-;_-@_-</c:formatCode>
                <c:ptCount val="26"/>
                <c:pt idx="0">
                  <c:v>4027887</c:v>
                </c:pt>
                <c:pt idx="1">
                  <c:v>4138012</c:v>
                </c:pt>
                <c:pt idx="2">
                  <c:v>4175950</c:v>
                </c:pt>
                <c:pt idx="3">
                  <c:v>4114826</c:v>
                </c:pt>
                <c:pt idx="4">
                  <c:v>4166664</c:v>
                </c:pt>
                <c:pt idx="5">
                  <c:v>4265762</c:v>
                </c:pt>
                <c:pt idx="6">
                  <c:v>4401365</c:v>
                </c:pt>
                <c:pt idx="7">
                  <c:v>4588599</c:v>
                </c:pt>
                <c:pt idx="8">
                  <c:v>4839396</c:v>
                </c:pt>
                <c:pt idx="9">
                  <c:v>4987573</c:v>
                </c:pt>
                <c:pt idx="10">
                  <c:v>5076732</c:v>
                </c:pt>
                <c:pt idx="11">
                  <c:v>5183688</c:v>
                </c:pt>
                <c:pt idx="12">
                  <c:v>5312437</c:v>
                </c:pt>
                <c:pt idx="13">
                  <c:v>5399162</c:v>
                </c:pt>
                <c:pt idx="14">
                  <c:v>5469724</c:v>
                </c:pt>
                <c:pt idx="15">
                  <c:v>5535002</c:v>
                </c:pt>
                <c:pt idx="16">
                  <c:v>5607283</c:v>
                </c:pt>
                <c:pt idx="17">
                  <c:v>5612253</c:v>
                </c:pt>
                <c:pt idx="18">
                  <c:v>5638676</c:v>
                </c:pt>
                <c:pt idx="19">
                  <c:v>5703569</c:v>
                </c:pt>
                <c:pt idx="20">
                  <c:v>5685807</c:v>
                </c:pt>
                <c:pt idx="21">
                  <c:v>5453566</c:v>
                </c:pt>
                <c:pt idx="22">
                  <c:v>5637022</c:v>
                </c:pt>
                <c:pt idx="23">
                  <c:v>5917648</c:v>
                </c:pt>
                <c:pt idx="24">
                  <c:v>6036860</c:v>
                </c:pt>
                <c:pt idx="25">
                  <c:v>6111175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E-44BF-AD49-EA7158BD410C}"/>
            </c:ext>
          </c:extLst>
        </c:ser>
        <c:ser>
          <c:idx val="1"/>
          <c:order val="1"/>
          <c:tx>
            <c:strRef>
              <c:f>Inputs_Population!$D$2</c:f>
              <c:strCache>
                <c:ptCount val="1"/>
                <c:pt idx="0">
                  <c:v>Forcast Total 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Inputs_Population!$B$3:$B$63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Inputs_Population!$D$3:$D$63</c:f>
              <c:numCache>
                <c:formatCode>0</c:formatCode>
                <c:ptCount val="61"/>
                <c:pt idx="26" formatCode="_-* #,##0.00_-;\-* #,##0.00_-;_-* &quot;-&quot;??_-;_-@_-">
                  <c:v>6260749.7384615541</c:v>
                </c:pt>
                <c:pt idx="27" formatCode="_-* #,##0.00_-;\-* #,##0.00_-;_-* &quot;-&quot;??_-;_-@_-">
                  <c:v>6345344.7675213814</c:v>
                </c:pt>
                <c:pt idx="28" formatCode="_-* #,##0.00_-;\-* #,##0.00_-;_-* &quot;-&quot;??_-;_-@_-">
                  <c:v>6429939.7965812087</c:v>
                </c:pt>
                <c:pt idx="29" formatCode="_-* #,##0.00_-;\-* #,##0.00_-;_-* &quot;-&quot;??_-;_-@_-">
                  <c:v>6514534.825641036</c:v>
                </c:pt>
                <c:pt idx="30" formatCode="_-* #,##0.00_-;\-* #,##0.00_-;_-* &quot;-&quot;??_-;_-@_-">
                  <c:v>6599129.8547008634</c:v>
                </c:pt>
                <c:pt idx="31" formatCode="_-* #,##0.00_-;\-* #,##0.00_-;_-* &quot;-&quot;??_-;_-@_-">
                  <c:v>6683724.8837606907</c:v>
                </c:pt>
                <c:pt idx="32" formatCode="_-* #,##0.00_-;\-* #,##0.00_-;_-* &quot;-&quot;??_-;_-@_-">
                  <c:v>6768319.912820518</c:v>
                </c:pt>
                <c:pt idx="33" formatCode="_-* #,##0.00_-;\-* #,##0.00_-;_-* &quot;-&quot;??_-;_-@_-">
                  <c:v>6852914.9418803453</c:v>
                </c:pt>
                <c:pt idx="34" formatCode="_-* #,##0.00_-;\-* #,##0.00_-;_-* &quot;-&quot;??_-;_-@_-">
                  <c:v>6937509.9709401727</c:v>
                </c:pt>
                <c:pt idx="35" formatCode="_-* #,##0.00_-;\-* #,##0.00_-;_-* &quot;-&quot;??_-;_-@_-">
                  <c:v>7022105</c:v>
                </c:pt>
                <c:pt idx="36" formatCode="_-* #,##0.00_-;\-* #,##0.00_-;_-* &quot;-&quot;??_-;_-@_-">
                  <c:v>7106700.0290598273</c:v>
                </c:pt>
                <c:pt idx="37" formatCode="_-* #,##0.00_-;\-* #,##0.00_-;_-* &quot;-&quot;??_-;_-@_-">
                  <c:v>7191295.0581196547</c:v>
                </c:pt>
                <c:pt idx="38" formatCode="_-* #,##0.00_-;\-* #,##0.00_-;_-* &quot;-&quot;??_-;_-@_-">
                  <c:v>7275890.087179482</c:v>
                </c:pt>
                <c:pt idx="39" formatCode="_-* #,##0.00_-;\-* #,##0.00_-;_-* &quot;-&quot;??_-;_-@_-">
                  <c:v>7360485.1162393093</c:v>
                </c:pt>
                <c:pt idx="40" formatCode="_-* #,##0.00_-;\-* #,##0.00_-;_-* &quot;-&quot;??_-;_-@_-">
                  <c:v>7445080.1452991664</c:v>
                </c:pt>
                <c:pt idx="41" formatCode="_-* #,##0.00_-;\-* #,##0.00_-;_-* &quot;-&quot;??_-;_-@_-">
                  <c:v>7529675.1743589938</c:v>
                </c:pt>
                <c:pt idx="42" formatCode="_-* #,##0.00_-;\-* #,##0.00_-;_-* &quot;-&quot;??_-;_-@_-">
                  <c:v>7614270.2034188211</c:v>
                </c:pt>
                <c:pt idx="43" formatCode="_-* #,##0.00_-;\-* #,##0.00_-;_-* &quot;-&quot;??_-;_-@_-">
                  <c:v>7698865.2324786484</c:v>
                </c:pt>
                <c:pt idx="44" formatCode="_-* #,##0.00_-;\-* #,##0.00_-;_-* &quot;-&quot;??_-;_-@_-">
                  <c:v>7783460.2615384758</c:v>
                </c:pt>
                <c:pt idx="45" formatCode="_-* #,##0.00_-;\-* #,##0.00_-;_-* &quot;-&quot;??_-;_-@_-">
                  <c:v>7868055.2905983031</c:v>
                </c:pt>
                <c:pt idx="46" formatCode="_-* #,##0.00_-;\-* #,##0.00_-;_-* &quot;-&quot;??_-;_-@_-">
                  <c:v>7952650.3196581304</c:v>
                </c:pt>
                <c:pt idx="47" formatCode="_-* #,##0.00_-;\-* #,##0.00_-;_-* &quot;-&quot;??_-;_-@_-">
                  <c:v>8037245.3487179577</c:v>
                </c:pt>
                <c:pt idx="48" formatCode="_-* #,##0.00_-;\-* #,##0.00_-;_-* &quot;-&quot;??_-;_-@_-">
                  <c:v>8121840.3777777851</c:v>
                </c:pt>
                <c:pt idx="49" formatCode="_-* #,##0.00_-;\-* #,##0.00_-;_-* &quot;-&quot;??_-;_-@_-">
                  <c:v>8206435.4068376124</c:v>
                </c:pt>
                <c:pt idx="50" formatCode="_-* #,##0.00_-;\-* #,##0.00_-;_-* &quot;-&quot;??_-;_-@_-">
                  <c:v>8291030.4358974397</c:v>
                </c:pt>
                <c:pt idx="51" formatCode="_-* #,##0.00_-;\-* #,##0.00_-;_-* &quot;-&quot;??_-;_-@_-">
                  <c:v>8375625.464957267</c:v>
                </c:pt>
                <c:pt idx="52" formatCode="_-* #,##0.00_-;\-* #,##0.00_-;_-* &quot;-&quot;??_-;_-@_-">
                  <c:v>8460220.4940170944</c:v>
                </c:pt>
                <c:pt idx="53" formatCode="_-* #,##0.00_-;\-* #,##0.00_-;_-* &quot;-&quot;??_-;_-@_-">
                  <c:v>8544815.5230769217</c:v>
                </c:pt>
                <c:pt idx="54" formatCode="_-* #,##0.00_-;\-* #,##0.00_-;_-* &quot;-&quot;??_-;_-@_-">
                  <c:v>8629410.552136749</c:v>
                </c:pt>
                <c:pt idx="55" formatCode="_-* #,##0.00_-;\-* #,##0.00_-;_-* &quot;-&quot;??_-;_-@_-">
                  <c:v>8714005.5811965764</c:v>
                </c:pt>
                <c:pt idx="56" formatCode="_-* #,##0.00_-;\-* #,##0.00_-;_-* &quot;-&quot;??_-;_-@_-">
                  <c:v>8798600.6102564037</c:v>
                </c:pt>
                <c:pt idx="57" formatCode="_-* #,##0.00_-;\-* #,##0.00_-;_-* &quot;-&quot;??_-;_-@_-">
                  <c:v>8883195.6393162608</c:v>
                </c:pt>
                <c:pt idx="58" formatCode="_-* #,##0.00_-;\-* #,##0.00_-;_-* &quot;-&quot;??_-;_-@_-">
                  <c:v>8967790.6683760881</c:v>
                </c:pt>
                <c:pt idx="59" formatCode="_-* #,##0.00_-;\-* #,##0.00_-;_-* &quot;-&quot;??_-;_-@_-">
                  <c:v>9052385.6974359155</c:v>
                </c:pt>
                <c:pt idx="60" formatCode="_-* #,##0.00_-;\-* #,##0.00_-;_-* &quot;-&quot;??_-;_-@_-">
                  <c:v>9136980.7264957428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0E-44BF-AD49-EA7158BD410C}"/>
            </c:ext>
          </c:extLst>
        </c:ser>
        <c:ser>
          <c:idx val="2"/>
          <c:order val="2"/>
          <c:tx>
            <c:strRef>
              <c:f>Inputs_Population!$E$2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Inputs_Population!$B$3:$B$63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Inputs_Population!$E$3:$E$63</c:f>
              <c:numCache>
                <c:formatCode>General</c:formatCode>
                <c:ptCount val="61"/>
                <c:pt idx="26" formatCode="_-* #,##0.00_-;\-* #,##0.00_-;_-* &quot;-&quot;??_-;_-@_-">
                  <c:v>6025618.0802111495</c:v>
                </c:pt>
                <c:pt idx="27" formatCode="_-* #,##0.00_-;\-* #,##0.00_-;_-* &quot;-&quot;??_-;_-@_-">
                  <c:v>6051289.0555486064</c:v>
                </c:pt>
                <c:pt idx="28" formatCode="_-* #,##0.00_-;\-* #,##0.00_-;_-* &quot;-&quot;??_-;_-@_-">
                  <c:v>6086816.3159189206</c:v>
                </c:pt>
                <c:pt idx="29" formatCode="_-* #,##0.00_-;\-* #,##0.00_-;_-* &quot;-&quot;??_-;_-@_-">
                  <c:v>6128423.5838993033</c:v>
                </c:pt>
                <c:pt idx="30" formatCode="_-* #,##0.00_-;\-* #,##0.00_-;_-* &quot;-&quot;??_-;_-@_-">
                  <c:v>6174261.1969132759</c:v>
                </c:pt>
                <c:pt idx="31" formatCode="_-* #,##0.00_-;\-* #,##0.00_-;_-* &quot;-&quot;??_-;_-@_-">
                  <c:v>6223259.586840013</c:v>
                </c:pt>
                <c:pt idx="32" formatCode="_-* #,##0.00_-;\-* #,##0.00_-;_-* &quot;-&quot;??_-;_-@_-">
                  <c:v>6274734.3159204461</c:v>
                </c:pt>
                <c:pt idx="33" formatCode="_-* #,##0.00_-;\-* #,##0.00_-;_-* &quot;-&quot;??_-;_-@_-">
                  <c:v>6328216.1308078626</c:v>
                </c:pt>
                <c:pt idx="34" formatCode="_-* #,##0.00_-;\-* #,##0.00_-;_-* &quot;-&quot;??_-;_-@_-">
                  <c:v>6383366.7558205863</c:v>
                </c:pt>
                <c:pt idx="35" formatCode="_-* #,##0.00_-;\-* #,##0.00_-;_-* &quot;-&quot;??_-;_-@_-">
                  <c:v>6439932.8316446422</c:v>
                </c:pt>
                <c:pt idx="36" formatCode="_-* #,##0.00_-;\-* #,##0.00_-;_-* &quot;-&quot;??_-;_-@_-">
                  <c:v>6497718.7935950626</c:v>
                </c:pt>
                <c:pt idx="37" formatCode="_-* #,##0.00_-;\-* #,##0.00_-;_-* &quot;-&quot;??_-;_-@_-">
                  <c:v>6556569.961673405</c:v>
                </c:pt>
                <c:pt idx="38" formatCode="_-* #,##0.00_-;\-* #,##0.00_-;_-* &quot;-&quot;??_-;_-@_-">
                  <c:v>6616361.5033312142</c:v>
                </c:pt>
                <c:pt idx="39" formatCode="_-* #,##0.00_-;\-* #,##0.00_-;_-* &quot;-&quot;??_-;_-@_-">
                  <c:v>6676990.9536566371</c:v>
                </c:pt>
                <c:pt idx="40" formatCode="_-* #,##0.00_-;\-* #,##0.00_-;_-* &quot;-&quot;??_-;_-@_-">
                  <c:v>6738372.9847669173</c:v>
                </c:pt>
                <c:pt idx="41" formatCode="_-* #,##0.00_-;\-* #,##0.00_-;_-* &quot;-&quot;??_-;_-@_-">
                  <c:v>6800435.6493224036</c:v>
                </c:pt>
                <c:pt idx="42" formatCode="_-* #,##0.00_-;\-* #,##0.00_-;_-* &quot;-&quot;??_-;_-@_-">
                  <c:v>6863117.620222508</c:v>
                </c:pt>
                <c:pt idx="43" formatCode="_-* #,##0.00_-;\-* #,##0.00_-;_-* &quot;-&quot;??_-;_-@_-">
                  <c:v>6926366.1215263726</c:v>
                </c:pt>
                <c:pt idx="44" formatCode="_-* #,##0.00_-;\-* #,##0.00_-;_-* &quot;-&quot;??_-;_-@_-">
                  <c:v>6990135.3501761323</c:v>
                </c:pt>
                <c:pt idx="45" formatCode="_-* #,##0.00_-;\-* #,##0.00_-;_-* &quot;-&quot;??_-;_-@_-">
                  <c:v>7054385.2533508148</c:v>
                </c:pt>
                <c:pt idx="46" formatCode="_-* #,##0.00_-;\-* #,##0.00_-;_-* &quot;-&quot;??_-;_-@_-">
                  <c:v>7119080.5681828093</c:v>
                </c:pt>
                <c:pt idx="47" formatCode="_-* #,##0.00_-;\-* #,##0.00_-;_-* &quot;-&quot;??_-;_-@_-">
                  <c:v>7184190.0581636112</c:v>
                </c:pt>
                <c:pt idx="48" formatCode="_-* #,##0.00_-;\-* #,##0.00_-;_-* &quot;-&quot;??_-;_-@_-">
                  <c:v>7249685.899148846</c:v>
                </c:pt>
                <c:pt idx="49" formatCode="_-* #,##0.00_-;\-* #,##0.00_-;_-* &quot;-&quot;??_-;_-@_-">
                  <c:v>7315543.1806409229</c:v>
                </c:pt>
                <c:pt idx="50" formatCode="_-* #,##0.00_-;\-* #,##0.00_-;_-* &quot;-&quot;??_-;_-@_-">
                  <c:v>7381739.4969609063</c:v>
                </c:pt>
                <c:pt idx="51" formatCode="_-* #,##0.00_-;\-* #,##0.00_-;_-* &quot;-&quot;??_-;_-@_-">
                  <c:v>7448254.6092746668</c:v>
                </c:pt>
                <c:pt idx="52" formatCode="_-* #,##0.00_-;\-* #,##0.00_-;_-* &quot;-&quot;??_-;_-@_-">
                  <c:v>7515070.1640252592</c:v>
                </c:pt>
                <c:pt idx="53" formatCode="_-* #,##0.00_-;\-* #,##0.00_-;_-* &quot;-&quot;??_-;_-@_-">
                  <c:v>7582169.4566805214</c:v>
                </c:pt>
                <c:pt idx="54" formatCode="_-* #,##0.00_-;\-* #,##0.00_-;_-* &quot;-&quot;??_-;_-@_-">
                  <c:v>7649537.2321929727</c:v>
                </c:pt>
                <c:pt idx="55" formatCode="_-* #,##0.00_-;\-* #,##0.00_-;_-* &quot;-&quot;??_-;_-@_-">
                  <c:v>7717159.5154346693</c:v>
                </c:pt>
                <c:pt idx="56" formatCode="_-* #,##0.00_-;\-* #,##0.00_-;_-* &quot;-&quot;??_-;_-@_-">
                  <c:v>7785023.4662834741</c:v>
                </c:pt>
                <c:pt idx="57" formatCode="_-* #,##0.00_-;\-* #,##0.00_-;_-* &quot;-&quot;??_-;_-@_-">
                  <c:v>7853117.255119497</c:v>
                </c:pt>
                <c:pt idx="58" formatCode="_-* #,##0.00_-;\-* #,##0.00_-;_-* &quot;-&quot;??_-;_-@_-">
                  <c:v>7921429.9553262955</c:v>
                </c:pt>
                <c:pt idx="59" formatCode="_-* #,##0.00_-;\-* #,##0.00_-;_-* &quot;-&quot;??_-;_-@_-">
                  <c:v>7989951.4500435982</c:v>
                </c:pt>
                <c:pt idx="60" formatCode="_-* #,##0.00_-;\-* #,##0.00_-;_-* &quot;-&quot;??_-;_-@_-">
                  <c:v>8058672.3509290703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0E-44BF-AD49-EA7158BD410C}"/>
            </c:ext>
          </c:extLst>
        </c:ser>
        <c:ser>
          <c:idx val="3"/>
          <c:order val="3"/>
          <c:tx>
            <c:strRef>
              <c:f>Inputs_Population!$F$2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Inputs_Population!$B$3:$B$63</c:f>
              <c:numCache>
                <c:formatCode>General</c:formatCode>
                <c:ptCount val="6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</c:numCache>
            </c:numRef>
          </c:cat>
          <c:val>
            <c:numRef>
              <c:f>Inputs_Population!$F$3:$F$63</c:f>
              <c:numCache>
                <c:formatCode>General</c:formatCode>
                <c:ptCount val="61"/>
                <c:pt idx="26" formatCode="_-* #,##0.00_-;\-* #,##0.00_-;_-* &quot;-&quot;??_-;_-@_-">
                  <c:v>6495881.3967119586</c:v>
                </c:pt>
                <c:pt idx="27" formatCode="_-* #,##0.00_-;\-* #,##0.00_-;_-* &quot;-&quot;??_-;_-@_-">
                  <c:v>6639400.4794941563</c:v>
                </c:pt>
                <c:pt idx="28" formatCode="_-* #,##0.00_-;\-* #,##0.00_-;_-* &quot;-&quot;??_-;_-@_-">
                  <c:v>6773063.2772434969</c:v>
                </c:pt>
                <c:pt idx="29" formatCode="_-* #,##0.00_-;\-* #,##0.00_-;_-* &quot;-&quot;??_-;_-@_-">
                  <c:v>6900646.0673827687</c:v>
                </c:pt>
                <c:pt idx="30" formatCode="_-* #,##0.00_-;\-* #,##0.00_-;_-* &quot;-&quot;??_-;_-@_-">
                  <c:v>7023998.5124884509</c:v>
                </c:pt>
                <c:pt idx="31" formatCode="_-* #,##0.00_-;\-* #,##0.00_-;_-* &quot;-&quot;??_-;_-@_-">
                  <c:v>7144190.1806813683</c:v>
                </c:pt>
                <c:pt idx="32" formatCode="_-* #,##0.00_-;\-* #,##0.00_-;_-* &quot;-&quot;??_-;_-@_-">
                  <c:v>7261905.50972059</c:v>
                </c:pt>
                <c:pt idx="33" formatCode="_-* #,##0.00_-;\-* #,##0.00_-;_-* &quot;-&quot;??_-;_-@_-">
                  <c:v>7377613.7529528281</c:v>
                </c:pt>
                <c:pt idx="34" formatCode="_-* #,##0.00_-;\-* #,##0.00_-;_-* &quot;-&quot;??_-;_-@_-">
                  <c:v>7491653.186059759</c:v>
                </c:pt>
                <c:pt idx="35" formatCode="_-* #,##0.00_-;\-* #,##0.00_-;_-* &quot;-&quot;??_-;_-@_-">
                  <c:v>7604277.1683553578</c:v>
                </c:pt>
                <c:pt idx="36" formatCode="_-* #,##0.00_-;\-* #,##0.00_-;_-* &quot;-&quot;??_-;_-@_-">
                  <c:v>7715681.2645245921</c:v>
                </c:pt>
                <c:pt idx="37" formatCode="_-* #,##0.00_-;\-* #,##0.00_-;_-* &quot;-&quot;??_-;_-@_-">
                  <c:v>7826020.1545659043</c:v>
                </c:pt>
                <c:pt idx="38" formatCode="_-* #,##0.00_-;\-* #,##0.00_-;_-* &quot;-&quot;??_-;_-@_-">
                  <c:v>7935418.6710277498</c:v>
                </c:pt>
                <c:pt idx="39" formatCode="_-* #,##0.00_-;\-* #,##0.00_-;_-* &quot;-&quot;??_-;_-@_-">
                  <c:v>8043979.2788219815</c:v>
                </c:pt>
                <c:pt idx="40" formatCode="_-* #,##0.00_-;\-* #,##0.00_-;_-* &quot;-&quot;??_-;_-@_-">
                  <c:v>8151787.3058314156</c:v>
                </c:pt>
                <c:pt idx="41" formatCode="_-* #,##0.00_-;\-* #,##0.00_-;_-* &quot;-&quot;??_-;_-@_-">
                  <c:v>8258914.6993955839</c:v>
                </c:pt>
                <c:pt idx="42" formatCode="_-* #,##0.00_-;\-* #,##0.00_-;_-* &quot;-&quot;??_-;_-@_-">
                  <c:v>8365422.7866151342</c:v>
                </c:pt>
                <c:pt idx="43" formatCode="_-* #,##0.00_-;\-* #,##0.00_-;_-* &quot;-&quot;??_-;_-@_-">
                  <c:v>8471364.3434309233</c:v>
                </c:pt>
                <c:pt idx="44" formatCode="_-* #,##0.00_-;\-* #,##0.00_-;_-* &quot;-&quot;??_-;_-@_-">
                  <c:v>8576785.1729008183</c:v>
                </c:pt>
                <c:pt idx="45" formatCode="_-* #,##0.00_-;\-* #,##0.00_-;_-* &quot;-&quot;??_-;_-@_-">
                  <c:v>8681725.3278457914</c:v>
                </c:pt>
                <c:pt idx="46" formatCode="_-* #,##0.00_-;\-* #,##0.00_-;_-* &quot;-&quot;??_-;_-@_-">
                  <c:v>8786220.0711334515</c:v>
                </c:pt>
                <c:pt idx="47" formatCode="_-* #,##0.00_-;\-* #,##0.00_-;_-* &quot;-&quot;??_-;_-@_-">
                  <c:v>8890300.6392723043</c:v>
                </c:pt>
                <c:pt idx="48" formatCode="_-* #,##0.00_-;\-* #,##0.00_-;_-* &quot;-&quot;??_-;_-@_-">
                  <c:v>8993994.8564067241</c:v>
                </c:pt>
                <c:pt idx="49" formatCode="_-* #,##0.00_-;\-* #,##0.00_-;_-* &quot;-&quot;??_-;_-@_-">
                  <c:v>9097327.6330343019</c:v>
                </c:pt>
                <c:pt idx="50" formatCode="_-* #,##0.00_-;\-* #,##0.00_-;_-* &quot;-&quot;??_-;_-@_-">
                  <c:v>9200321.3748339731</c:v>
                </c:pt>
                <c:pt idx="51" formatCode="_-* #,##0.00_-;\-* #,##0.00_-;_-* &quot;-&quot;??_-;_-@_-">
                  <c:v>9302996.3206398673</c:v>
                </c:pt>
                <c:pt idx="52" formatCode="_-* #,##0.00_-;\-* #,##0.00_-;_-* &quot;-&quot;??_-;_-@_-">
                  <c:v>9405370.8240089286</c:v>
                </c:pt>
                <c:pt idx="53" formatCode="_-* #,##0.00_-;\-* #,##0.00_-;_-* &quot;-&quot;??_-;_-@_-">
                  <c:v>9507461.589473322</c:v>
                </c:pt>
                <c:pt idx="54" formatCode="_-* #,##0.00_-;\-* #,##0.00_-;_-* &quot;-&quot;??_-;_-@_-">
                  <c:v>9609283.8720805254</c:v>
                </c:pt>
                <c:pt idx="55" formatCode="_-* #,##0.00_-;\-* #,##0.00_-;_-* &quot;-&quot;??_-;_-@_-">
                  <c:v>9710851.6469584834</c:v>
                </c:pt>
                <c:pt idx="56" formatCode="_-* #,##0.00_-;\-* #,##0.00_-;_-* &quot;-&quot;??_-;_-@_-">
                  <c:v>9812177.7542293333</c:v>
                </c:pt>
                <c:pt idx="57" formatCode="_-* #,##0.00_-;\-* #,##0.00_-;_-* &quot;-&quot;??_-;_-@_-">
                  <c:v>9913274.0235130247</c:v>
                </c:pt>
                <c:pt idx="58" formatCode="_-* #,##0.00_-;\-* #,##0.00_-;_-* &quot;-&quot;??_-;_-@_-">
                  <c:v>10014151.381425882</c:v>
                </c:pt>
                <c:pt idx="59" formatCode="_-* #,##0.00_-;\-* #,##0.00_-;_-* &quot;-&quot;??_-;_-@_-">
                  <c:v>10114819.944828233</c:v>
                </c:pt>
                <c:pt idx="60" formatCode="_-* #,##0.00_-;\-* #,##0.00_-;_-* &quot;-&quot;??_-;_-@_-">
                  <c:v>10215289.102062415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0E-44BF-AD49-EA7158BD4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130319"/>
        <c:axId val="921024959"/>
      </c:lineChart>
      <c:catAx>
        <c:axId val="106413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24959"/>
        <c:crosses val="autoZero"/>
        <c:auto val="1"/>
        <c:lblAlgn val="ctr"/>
        <c:lblOffset val="100"/>
        <c:noMultiLvlLbl val="0"/>
      </c:catAx>
      <c:valAx>
        <c:axId val="92102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130319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and Forecast Total Consumption (Yearly)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Inputs_Consumption!$C$2</c:f>
              <c:strCache>
                <c:ptCount val="1"/>
                <c:pt idx="0">
                  <c:v>Total Consumption (litres/day)^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Inputs_Consumption!$B$3:$B$47</c:f>
              <c:numCache>
                <c:formatCode>General</c:formatCode>
                <c:ptCount val="4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</c:numCache>
            </c:numRef>
          </c:cat>
          <c:val>
            <c:numRef>
              <c:f>Inputs_Consumption!$C$3:$C$47</c:f>
              <c:numCache>
                <c:formatCode>0.00</c:formatCode>
                <c:ptCount val="45"/>
                <c:pt idx="0">
                  <c:v>151</c:v>
                </c:pt>
                <c:pt idx="1">
                  <c:v>149</c:v>
                </c:pt>
                <c:pt idx="2">
                  <c:v>149</c:v>
                </c:pt>
                <c:pt idx="3">
                  <c:v>148</c:v>
                </c:pt>
                <c:pt idx="4">
                  <c:v>143</c:v>
                </c:pt>
                <c:pt idx="5">
                  <c:v>141</c:v>
                </c:pt>
                <c:pt idx="6">
                  <c:v>141</c:v>
                </c:pt>
                <c:pt idx="7">
                  <c:v>154</c:v>
                </c:pt>
                <c:pt idx="8">
                  <c:v>158</c:v>
                </c:pt>
                <c:pt idx="9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71BCAFA5-0D01-40A4-90BE-6116E30100DF}"/>
            </c:ext>
          </c:extLst>
        </c:ser>
        <c:ser>
          <c:idx val="1"/>
          <c:order val="1"/>
          <c:tx>
            <c:strRef>
              <c:f>Inputs_Consumption!$D$2</c:f>
              <c:strCache>
                <c:ptCount val="1"/>
                <c:pt idx="0">
                  <c:v>Forcast Total Consumption(litres/day)^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Inputs_Consumption!$B$3:$B$47</c:f>
              <c:numCache>
                <c:formatCode>General</c:formatCode>
                <c:ptCount val="4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</c:numCache>
            </c:numRef>
          </c:cat>
          <c:val>
            <c:numRef>
              <c:f>Inputs_Consumption!$D$3:$D$47</c:f>
              <c:numCache>
                <c:formatCode>0.00</c:formatCode>
                <c:ptCount val="45"/>
                <c:pt idx="10">
                  <c:v>150.7212121212122</c:v>
                </c:pt>
                <c:pt idx="11">
                  <c:v>151.00606060606066</c:v>
                </c:pt>
                <c:pt idx="12">
                  <c:v>151.29090909090911</c:v>
                </c:pt>
                <c:pt idx="13">
                  <c:v>151.57575757575768</c:v>
                </c:pt>
                <c:pt idx="14">
                  <c:v>151.86060606060613</c:v>
                </c:pt>
                <c:pt idx="15">
                  <c:v>152.14545454545458</c:v>
                </c:pt>
                <c:pt idx="16">
                  <c:v>152.43030303030315</c:v>
                </c:pt>
                <c:pt idx="17">
                  <c:v>152.7151515151516</c:v>
                </c:pt>
                <c:pt idx="18">
                  <c:v>153.00000000000006</c:v>
                </c:pt>
                <c:pt idx="19">
                  <c:v>153.28484848484851</c:v>
                </c:pt>
                <c:pt idx="20">
                  <c:v>153.56969696969708</c:v>
                </c:pt>
                <c:pt idx="21">
                  <c:v>153.85454545454553</c:v>
                </c:pt>
                <c:pt idx="22">
                  <c:v>154.13939393939398</c:v>
                </c:pt>
                <c:pt idx="23">
                  <c:v>154.42424242424244</c:v>
                </c:pt>
                <c:pt idx="24">
                  <c:v>154.709090909091</c:v>
                </c:pt>
                <c:pt idx="25">
                  <c:v>154.99393939393946</c:v>
                </c:pt>
                <c:pt idx="26">
                  <c:v>155.27878787878791</c:v>
                </c:pt>
                <c:pt idx="27">
                  <c:v>155.56363636363648</c:v>
                </c:pt>
                <c:pt idx="28">
                  <c:v>155.84848484848493</c:v>
                </c:pt>
                <c:pt idx="29">
                  <c:v>156.13333333333338</c:v>
                </c:pt>
                <c:pt idx="30">
                  <c:v>156.41818181818184</c:v>
                </c:pt>
                <c:pt idx="31">
                  <c:v>156.7030303030304</c:v>
                </c:pt>
                <c:pt idx="32">
                  <c:v>156.98787878787886</c:v>
                </c:pt>
                <c:pt idx="33">
                  <c:v>157.27272727272731</c:v>
                </c:pt>
                <c:pt idx="34">
                  <c:v>157.55757575757588</c:v>
                </c:pt>
                <c:pt idx="35">
                  <c:v>157.84242424242433</c:v>
                </c:pt>
                <c:pt idx="36">
                  <c:v>158.12727272727278</c:v>
                </c:pt>
                <c:pt idx="37">
                  <c:v>158.41212121212124</c:v>
                </c:pt>
                <c:pt idx="38">
                  <c:v>158.6969696969698</c:v>
                </c:pt>
                <c:pt idx="39">
                  <c:v>158.98181818181826</c:v>
                </c:pt>
                <c:pt idx="40">
                  <c:v>159.26666666666671</c:v>
                </c:pt>
                <c:pt idx="41">
                  <c:v>159.55151515151528</c:v>
                </c:pt>
                <c:pt idx="42">
                  <c:v>159.83636363636373</c:v>
                </c:pt>
                <c:pt idx="43">
                  <c:v>160.12121212121218</c:v>
                </c:pt>
                <c:pt idx="44">
                  <c:v>160.40606060606063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80CA50F0-C67B-4BAF-AD26-7EBC7003BD2B}"/>
            </c:ext>
          </c:extLst>
        </c:ser>
        <c:ser>
          <c:idx val="2"/>
          <c:order val="2"/>
          <c:tx>
            <c:strRef>
              <c:f>{"Low_L_per_day"}</c:f>
              <c:strCache>
                <c:ptCount val="1"/>
                <c:pt idx="0">
                  <c:v>Low_L_per_day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Inputs_Consumption!$B$3:$B$47</c:f>
              <c:numCache>
                <c:formatCode>General</c:formatCode>
                <c:ptCount val="4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</c:numCache>
            </c:numRef>
          </c:cat>
          <c:val>
            <c:numRef>
              <c:f>Inputs_Consumption!$E$3:$E$47</c:f>
              <c:numCache>
                <c:formatCode>0.00</c:formatCode>
                <c:ptCount val="45"/>
                <c:pt idx="10">
                  <c:v>130.55999213915999</c:v>
                </c:pt>
                <c:pt idx="11">
                  <c:v>128.57805951948555</c:v>
                </c:pt>
                <c:pt idx="12">
                  <c:v>126.80071967769342</c:v>
                </c:pt>
                <c:pt idx="13">
                  <c:v>125.17997265280741</c:v>
                </c:pt>
                <c:pt idx="14">
                  <c:v>123.68402497601636</c:v>
                </c:pt>
                <c:pt idx="15">
                  <c:v>122.29053211187141</c:v>
                </c:pt>
                <c:pt idx="16">
                  <c:v>120.98308195018687</c:v>
                </c:pt>
                <c:pt idx="17">
                  <c:v>119.74920062150323</c:v>
                </c:pt>
                <c:pt idx="18">
                  <c:v>118.57914522031614</c:v>
                </c:pt>
                <c:pt idx="19">
                  <c:v>117.46513427251401</c:v>
                </c:pt>
                <c:pt idx="20">
                  <c:v>116.4008363191906</c:v>
                </c:pt>
                <c:pt idx="21">
                  <c:v>115.38101809557982</c:v>
                </c:pt>
                <c:pt idx="22">
                  <c:v>114.40129536041175</c:v>
                </c:pt>
                <c:pt idx="23">
                  <c:v>113.45795198907007</c:v>
                </c:pt>
                <c:pt idx="24">
                  <c:v>112.54780577989123</c:v>
                </c:pt>
                <c:pt idx="25">
                  <c:v>111.66810702894134</c:v>
                </c:pt>
                <c:pt idx="26">
                  <c:v>110.81646059592687</c:v>
                </c:pt>
                <c:pt idx="27">
                  <c:v>109.99076513658605</c:v>
                </c:pt>
                <c:pt idx="28">
                  <c:v>109.18916509568766</c:v>
                </c:pt>
                <c:pt idx="29">
                  <c:v>108.41001233170707</c:v>
                </c:pt>
                <c:pt idx="30">
                  <c:v>107.6518351123291</c:v>
                </c:pt>
                <c:pt idx="31">
                  <c:v>106.91331282146676</c:v>
                </c:pt>
                <c:pt idx="32">
                  <c:v>106.19325514259151</c:v>
                </c:pt>
                <c:pt idx="33">
                  <c:v>105.49058478692959</c:v>
                </c:pt>
                <c:pt idx="34">
                  <c:v>104.80432305577756</c:v>
                </c:pt>
                <c:pt idx="35">
                  <c:v>104.1335776886765</c:v>
                </c:pt>
                <c:pt idx="36">
                  <c:v>103.47753257026176</c:v>
                </c:pt>
                <c:pt idx="37">
                  <c:v>102.83543895984197</c:v>
                </c:pt>
                <c:pt idx="38">
                  <c:v>102.20660797723352</c:v>
                </c:pt>
                <c:pt idx="39">
                  <c:v>101.59040413177966</c:v>
                </c:pt>
                <c:pt idx="40">
                  <c:v>100.98623972291119</c:v>
                </c:pt>
                <c:pt idx="41">
                  <c:v>100.39356997300472</c:v>
                </c:pt>
                <c:pt idx="42">
                  <c:v>99.81188877884145</c:v>
                </c:pt>
                <c:pt idx="43">
                  <c:v>99.240724988255877</c:v>
                </c:pt>
                <c:pt idx="44">
                  <c:v>98.679639124781545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EFD-4AB2-97FD-F9B057EBB82B}"/>
            </c:ext>
          </c:extLst>
        </c:ser>
        <c:ser>
          <c:idx val="3"/>
          <c:order val="3"/>
          <c:tx>
            <c:strRef>
              <c:f>{"High_L_per_day"}</c:f>
              <c:strCache>
                <c:ptCount val="1"/>
                <c:pt idx="0">
                  <c:v>High_L_per_day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Inputs_Consumption!$B$3:$B$47</c:f>
              <c:numCache>
                <c:formatCode>General</c:formatCode>
                <c:ptCount val="4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  <c:pt idx="26">
                  <c:v>2042</c:v>
                </c:pt>
                <c:pt idx="27">
                  <c:v>2043</c:v>
                </c:pt>
                <c:pt idx="28">
                  <c:v>2044</c:v>
                </c:pt>
                <c:pt idx="29">
                  <c:v>2045</c:v>
                </c:pt>
                <c:pt idx="30">
                  <c:v>2046</c:v>
                </c:pt>
                <c:pt idx="31">
                  <c:v>2047</c:v>
                </c:pt>
                <c:pt idx="32">
                  <c:v>2048</c:v>
                </c:pt>
                <c:pt idx="33">
                  <c:v>2049</c:v>
                </c:pt>
                <c:pt idx="34">
                  <c:v>2050</c:v>
                </c:pt>
                <c:pt idx="35">
                  <c:v>2051</c:v>
                </c:pt>
                <c:pt idx="36">
                  <c:v>2052</c:v>
                </c:pt>
                <c:pt idx="37">
                  <c:v>2053</c:v>
                </c:pt>
                <c:pt idx="38">
                  <c:v>2054</c:v>
                </c:pt>
                <c:pt idx="39">
                  <c:v>2055</c:v>
                </c:pt>
                <c:pt idx="40">
                  <c:v>2056</c:v>
                </c:pt>
                <c:pt idx="41">
                  <c:v>2057</c:v>
                </c:pt>
                <c:pt idx="42">
                  <c:v>2058</c:v>
                </c:pt>
                <c:pt idx="43">
                  <c:v>2059</c:v>
                </c:pt>
                <c:pt idx="44">
                  <c:v>2060</c:v>
                </c:pt>
              </c:numCache>
            </c:numRef>
          </c:cat>
          <c:val>
            <c:numRef>
              <c:f>Inputs_Consumption!$F$3:$F$47</c:f>
              <c:numCache>
                <c:formatCode>0.00</c:formatCode>
                <c:ptCount val="45"/>
                <c:pt idx="10">
                  <c:v>170.88243210326442</c:v>
                </c:pt>
                <c:pt idx="11">
                  <c:v>173.43406169263577</c:v>
                </c:pt>
                <c:pt idx="12">
                  <c:v>175.7810985041248</c:v>
                </c:pt>
                <c:pt idx="13">
                  <c:v>177.97154249870795</c:v>
                </c:pt>
                <c:pt idx="14">
                  <c:v>180.0371871451959</c:v>
                </c:pt>
                <c:pt idx="15">
                  <c:v>182.00037697903775</c:v>
                </c:pt>
                <c:pt idx="16">
                  <c:v>183.87752411041942</c:v>
                </c:pt>
                <c:pt idx="17">
                  <c:v>185.68110240879997</c:v>
                </c:pt>
                <c:pt idx="18">
                  <c:v>187.42085477968396</c:v>
                </c:pt>
                <c:pt idx="19">
                  <c:v>189.10456269718301</c:v>
                </c:pt>
                <c:pt idx="20">
                  <c:v>190.73855762020355</c:v>
                </c:pt>
                <c:pt idx="21">
                  <c:v>192.32807281351126</c:v>
                </c:pt>
                <c:pt idx="22">
                  <c:v>193.87749251837622</c:v>
                </c:pt>
                <c:pt idx="23">
                  <c:v>195.3905328594148</c:v>
                </c:pt>
                <c:pt idx="24">
                  <c:v>196.87037603829077</c:v>
                </c:pt>
                <c:pt idx="25">
                  <c:v>198.31977175893758</c:v>
                </c:pt>
                <c:pt idx="26">
                  <c:v>199.74111516164896</c:v>
                </c:pt>
                <c:pt idx="27">
                  <c:v>201.1365075906869</c:v>
                </c:pt>
                <c:pt idx="28">
                  <c:v>202.5078046012822</c:v>
                </c:pt>
                <c:pt idx="29">
                  <c:v>203.8566543349597</c:v>
                </c:pt>
                <c:pt idx="30">
                  <c:v>205.18452852403459</c:v>
                </c:pt>
                <c:pt idx="31">
                  <c:v>206.49274778459403</c:v>
                </c:pt>
                <c:pt idx="32">
                  <c:v>207.7825024331662</c:v>
                </c:pt>
                <c:pt idx="33">
                  <c:v>209.05486975852503</c:v>
                </c:pt>
                <c:pt idx="34">
                  <c:v>210.31082845937419</c:v>
                </c:pt>
                <c:pt idx="35">
                  <c:v>211.55127079617216</c:v>
                </c:pt>
                <c:pt idx="36">
                  <c:v>212.77701288428381</c:v>
                </c:pt>
                <c:pt idx="37">
                  <c:v>213.98880346440052</c:v>
                </c:pt>
                <c:pt idx="38">
                  <c:v>215.18733141670609</c:v>
                </c:pt>
                <c:pt idx="39">
                  <c:v>216.37323223185683</c:v>
                </c:pt>
                <c:pt idx="40">
                  <c:v>217.54709361042222</c:v>
                </c:pt>
                <c:pt idx="41">
                  <c:v>218.70946033002582</c:v>
                </c:pt>
                <c:pt idx="42">
                  <c:v>219.86083849388601</c:v>
                </c:pt>
                <c:pt idx="43">
                  <c:v>221.0016992541685</c:v>
                </c:pt>
                <c:pt idx="44">
                  <c:v>222.13248208733972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EFD-4AB2-97FD-F9B057EBB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2504"/>
        <c:axId val="5469192"/>
      </c:lineChart>
      <c:catAx>
        <c:axId val="2602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192"/>
        <c:crosses val="autoZero"/>
        <c:auto val="1"/>
        <c:lblAlgn val="ctr"/>
        <c:lblOffset val="100"/>
        <c:noMultiLvlLbl val="0"/>
      </c:catAx>
      <c:valAx>
        <c:axId val="546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2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Adjusted Consumption litres per day</a:t>
            </a:r>
          </a:p>
        </c:rich>
      </c:tx>
      <c:layout>
        <c:manualLayout>
          <c:xMode val="edge"/>
          <c:yMode val="edge"/>
          <c:x val="0.31769915487166711"/>
          <c:y val="2.0931538848577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0573130163778262E-2"/>
          <c:y val="8.9712579398953898E-2"/>
          <c:w val="0.87010670847378702"/>
          <c:h val="0.784043198140686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Inputs_Tariff!$H$4:$H$38</c:f>
              <c:numCache>
                <c:formatCode>0.00</c:formatCode>
                <c:ptCount val="35"/>
                <c:pt idx="0">
                  <c:v>150.7212121212122</c:v>
                </c:pt>
                <c:pt idx="1">
                  <c:v>151.00606060606066</c:v>
                </c:pt>
                <c:pt idx="2">
                  <c:v>151.29090909090911</c:v>
                </c:pt>
                <c:pt idx="3">
                  <c:v>151.57575757575768</c:v>
                </c:pt>
                <c:pt idx="4">
                  <c:v>151.86060606060613</c:v>
                </c:pt>
                <c:pt idx="5">
                  <c:v>152.14545454545458</c:v>
                </c:pt>
                <c:pt idx="6">
                  <c:v>152.43030303030315</c:v>
                </c:pt>
                <c:pt idx="7">
                  <c:v>152.7151515151516</c:v>
                </c:pt>
                <c:pt idx="8">
                  <c:v>153.00000000000006</c:v>
                </c:pt>
                <c:pt idx="9">
                  <c:v>153.28484848484851</c:v>
                </c:pt>
                <c:pt idx="10">
                  <c:v>153.56969696969708</c:v>
                </c:pt>
                <c:pt idx="11">
                  <c:v>153.85454545454553</c:v>
                </c:pt>
                <c:pt idx="12">
                  <c:v>154.13939393939398</c:v>
                </c:pt>
                <c:pt idx="13">
                  <c:v>154.42424242424244</c:v>
                </c:pt>
                <c:pt idx="14">
                  <c:v>154.709090909091</c:v>
                </c:pt>
                <c:pt idx="15">
                  <c:v>154.99393939393946</c:v>
                </c:pt>
                <c:pt idx="16">
                  <c:v>155.27878787878791</c:v>
                </c:pt>
                <c:pt idx="17">
                  <c:v>155.56363636363648</c:v>
                </c:pt>
                <c:pt idx="18">
                  <c:v>155.84848484848493</c:v>
                </c:pt>
                <c:pt idx="19">
                  <c:v>156.13333333333338</c:v>
                </c:pt>
                <c:pt idx="20">
                  <c:v>156.41818181818184</c:v>
                </c:pt>
                <c:pt idx="21">
                  <c:v>156.7030303030304</c:v>
                </c:pt>
                <c:pt idx="22">
                  <c:v>156.98787878787886</c:v>
                </c:pt>
                <c:pt idx="23">
                  <c:v>157.27272727272731</c:v>
                </c:pt>
                <c:pt idx="24">
                  <c:v>157.55757575757588</c:v>
                </c:pt>
                <c:pt idx="25">
                  <c:v>157.84242424242433</c:v>
                </c:pt>
                <c:pt idx="26">
                  <c:v>158.12727272727278</c:v>
                </c:pt>
                <c:pt idx="27">
                  <c:v>158.41212121212124</c:v>
                </c:pt>
                <c:pt idx="28">
                  <c:v>158.6969696969698</c:v>
                </c:pt>
                <c:pt idx="29">
                  <c:v>158.98181818181826</c:v>
                </c:pt>
                <c:pt idx="30">
                  <c:v>157.04142779787438</c:v>
                </c:pt>
                <c:pt idx="31">
                  <c:v>154.85396133460927</c:v>
                </c:pt>
                <c:pt idx="32">
                  <c:v>152.71847086013292</c:v>
                </c:pt>
                <c:pt idx="33">
                  <c:v>150.63294740140782</c:v>
                </c:pt>
                <c:pt idx="34">
                  <c:v>148.59560208658766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5-4FA1-81B0-43D74DB8D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130319"/>
        <c:axId val="921024959"/>
      </c:lineChart>
      <c:catAx>
        <c:axId val="106413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024959"/>
        <c:crosses val="autoZero"/>
        <c:auto val="1"/>
        <c:lblAlgn val="ctr"/>
        <c:lblOffset val="100"/>
        <c:noMultiLvlLbl val="0"/>
      </c:catAx>
      <c:valAx>
        <c:axId val="92102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130319"/>
        <c:crossesAt val="0"/>
        <c:crossBetween val="midCat"/>
      </c:valAx>
    </c:plotArea>
    <c:legend>
      <c:legendPos val="b"/>
      <c:layout>
        <c:manualLayout>
          <c:xMode val="edge"/>
          <c:yMode val="edge"/>
          <c:x val="0.32548437753024523"/>
          <c:y val="0.94712417065123911"/>
          <c:w val="0.30721507490407546"/>
          <c:h val="5.2876158872279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Singapore Water Supply Mix (2025–2060)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Inputs_Supply!$C$2</c:f>
              <c:strCache>
                <c:ptCount val="1"/>
                <c:pt idx="0">
                  <c:v>LocalCatchment_m3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Inputs_Supply!$B$3:$B$38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Inputs_Supply!$C$3:$C$38</c:f>
              <c:numCache>
                <c:formatCode>_(* #,##0.00_);_(* \(#,##0.00\);_(* "-"??_);_(@_)</c:formatCode>
                <c:ptCount val="36"/>
                <c:pt idx="0">
                  <c:v>295821181.31313133</c:v>
                </c:pt>
                <c:pt idx="1">
                  <c:v>295821181.31313133</c:v>
                </c:pt>
                <c:pt idx="2">
                  <c:v>295821181.31313133</c:v>
                </c:pt>
                <c:pt idx="3">
                  <c:v>295821181.31313133</c:v>
                </c:pt>
                <c:pt idx="4">
                  <c:v>295821181.31313133</c:v>
                </c:pt>
                <c:pt idx="5">
                  <c:v>295821181.31313133</c:v>
                </c:pt>
                <c:pt idx="6">
                  <c:v>295821181.31313133</c:v>
                </c:pt>
                <c:pt idx="7">
                  <c:v>295821181.31313133</c:v>
                </c:pt>
                <c:pt idx="8">
                  <c:v>295821181.31313133</c:v>
                </c:pt>
                <c:pt idx="9">
                  <c:v>295821181.31313133</c:v>
                </c:pt>
                <c:pt idx="10">
                  <c:v>295821181.31313133</c:v>
                </c:pt>
                <c:pt idx="11">
                  <c:v>295821181.31313133</c:v>
                </c:pt>
                <c:pt idx="12">
                  <c:v>295821181.31313133</c:v>
                </c:pt>
                <c:pt idx="13">
                  <c:v>295821181.31313133</c:v>
                </c:pt>
                <c:pt idx="14">
                  <c:v>295821181.31313133</c:v>
                </c:pt>
                <c:pt idx="15">
                  <c:v>295821181.31313133</c:v>
                </c:pt>
                <c:pt idx="16">
                  <c:v>295821181.31313133</c:v>
                </c:pt>
                <c:pt idx="17">
                  <c:v>295821181.31313133</c:v>
                </c:pt>
                <c:pt idx="18">
                  <c:v>295821181.31313133</c:v>
                </c:pt>
                <c:pt idx="19">
                  <c:v>295821181.31313133</c:v>
                </c:pt>
                <c:pt idx="20">
                  <c:v>295821181.31313133</c:v>
                </c:pt>
                <c:pt idx="21">
                  <c:v>295821181.31313133</c:v>
                </c:pt>
                <c:pt idx="22">
                  <c:v>295821181.31313133</c:v>
                </c:pt>
                <c:pt idx="23">
                  <c:v>295821181.31313133</c:v>
                </c:pt>
                <c:pt idx="24">
                  <c:v>295821181.31313133</c:v>
                </c:pt>
                <c:pt idx="25">
                  <c:v>295821181.31313133</c:v>
                </c:pt>
                <c:pt idx="26">
                  <c:v>295821181.31313133</c:v>
                </c:pt>
                <c:pt idx="27">
                  <c:v>295821181.31313133</c:v>
                </c:pt>
                <c:pt idx="28">
                  <c:v>295821181.31313133</c:v>
                </c:pt>
                <c:pt idx="29">
                  <c:v>295821181.31313133</c:v>
                </c:pt>
                <c:pt idx="30">
                  <c:v>295821181.31313133</c:v>
                </c:pt>
                <c:pt idx="31">
                  <c:v>295821181.31313133</c:v>
                </c:pt>
                <c:pt idx="32">
                  <c:v>295821181.31313133</c:v>
                </c:pt>
                <c:pt idx="33">
                  <c:v>295821181.31313133</c:v>
                </c:pt>
                <c:pt idx="34">
                  <c:v>295821181.31313133</c:v>
                </c:pt>
                <c:pt idx="35">
                  <c:v>295821181.31313133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8-4672-8BC7-1E7DFBF14C1C}"/>
            </c:ext>
          </c:extLst>
        </c:ser>
        <c:ser>
          <c:idx val="2"/>
          <c:order val="1"/>
          <c:tx>
            <c:strRef>
              <c:f>Inputs_Supply!$D$2</c:f>
              <c:strCache>
                <c:ptCount val="1"/>
                <c:pt idx="0">
                  <c:v>Imported_m3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Inputs_Supply!$B$3:$B$38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Inputs_Supply!$D$3:$D$38</c:f>
              <c:numCache>
                <c:formatCode>_(* #,##0.00_);_(* \(#,##0.00\);_(* "-"??_);_(@_)</c:formatCode>
                <c:ptCount val="36"/>
                <c:pt idx="0">
                  <c:v>321584927.70424998</c:v>
                </c:pt>
                <c:pt idx="1">
                  <c:v>321584927.70424998</c:v>
                </c:pt>
                <c:pt idx="2">
                  <c:v>321584927.70424998</c:v>
                </c:pt>
                <c:pt idx="3">
                  <c:v>321584927.70424998</c:v>
                </c:pt>
                <c:pt idx="4">
                  <c:v>321584927.70424998</c:v>
                </c:pt>
                <c:pt idx="5">
                  <c:v>321584927.70424998</c:v>
                </c:pt>
                <c:pt idx="6">
                  <c:v>321584927.70424998</c:v>
                </c:pt>
                <c:pt idx="7">
                  <c:v>321584927.70424998</c:v>
                </c:pt>
                <c:pt idx="8">
                  <c:v>321584927.70424998</c:v>
                </c:pt>
                <c:pt idx="9">
                  <c:v>321584927.70424998</c:v>
                </c:pt>
                <c:pt idx="10">
                  <c:v>321584927.70424998</c:v>
                </c:pt>
                <c:pt idx="11">
                  <c:v>321584927.70424998</c:v>
                </c:pt>
                <c:pt idx="12">
                  <c:v>321584927.70424998</c:v>
                </c:pt>
                <c:pt idx="13">
                  <c:v>321584927.70424998</c:v>
                </c:pt>
                <c:pt idx="14">
                  <c:v>321584927.70424998</c:v>
                </c:pt>
                <c:pt idx="15">
                  <c:v>321584927.70424998</c:v>
                </c:pt>
                <c:pt idx="16">
                  <c:v>321584927.70424998</c:v>
                </c:pt>
                <c:pt idx="17">
                  <c:v>321584927.70424998</c:v>
                </c:pt>
                <c:pt idx="18">
                  <c:v>321584927.70424998</c:v>
                </c:pt>
                <c:pt idx="19">
                  <c:v>321584927.70424998</c:v>
                </c:pt>
                <c:pt idx="20">
                  <c:v>321584927.70424998</c:v>
                </c:pt>
                <c:pt idx="21">
                  <c:v>321584927.70424998</c:v>
                </c:pt>
                <c:pt idx="22">
                  <c:v>321584927.70424998</c:v>
                </c:pt>
                <c:pt idx="23">
                  <c:v>321584927.70424998</c:v>
                </c:pt>
                <c:pt idx="24">
                  <c:v>321584927.70424998</c:v>
                </c:pt>
                <c:pt idx="25">
                  <c:v>321584927.70424998</c:v>
                </c:pt>
                <c:pt idx="26">
                  <c:v>321584927.70424998</c:v>
                </c:pt>
                <c:pt idx="27">
                  <c:v>321584927.70424998</c:v>
                </c:pt>
                <c:pt idx="28">
                  <c:v>321584927.70424998</c:v>
                </c:pt>
                <c:pt idx="29">
                  <c:v>321584927.70424998</c:v>
                </c:pt>
                <c:pt idx="30">
                  <c:v>321584927.70424998</c:v>
                </c:pt>
                <c:pt idx="31">
                  <c:v>321584927.70424998</c:v>
                </c:pt>
                <c:pt idx="32">
                  <c:v>321584927.70424998</c:v>
                </c:pt>
                <c:pt idx="33">
                  <c:v>321584927.70424998</c:v>
                </c:pt>
                <c:pt idx="34">
                  <c:v>321584927.70424998</c:v>
                </c:pt>
                <c:pt idx="35">
                  <c:v>321584927.70424998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8-4672-8BC7-1E7DFBF14C1C}"/>
            </c:ext>
          </c:extLst>
        </c:ser>
        <c:ser>
          <c:idx val="3"/>
          <c:order val="2"/>
          <c:tx>
            <c:strRef>
              <c:f>Inputs_Supply!$E$2</c:f>
              <c:strCache>
                <c:ptCount val="1"/>
                <c:pt idx="0">
                  <c:v>NEWater_m3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Inputs_Supply!$E$3:$E$38</c:f>
              <c:numCache>
                <c:formatCode>_(* #,##0.00_);_(* \(#,##0.00\);_(* "-"??_);_(@_)</c:formatCode>
                <c:ptCount val="36"/>
                <c:pt idx="0">
                  <c:v>201724594.822</c:v>
                </c:pt>
                <c:pt idx="1">
                  <c:v>201724594.822</c:v>
                </c:pt>
                <c:pt idx="2">
                  <c:v>436056726.88920003</c:v>
                </c:pt>
                <c:pt idx="3">
                  <c:v>436056726.88920003</c:v>
                </c:pt>
                <c:pt idx="4">
                  <c:v>436056726.88920003</c:v>
                </c:pt>
                <c:pt idx="5">
                  <c:v>436056726.88920003</c:v>
                </c:pt>
                <c:pt idx="6">
                  <c:v>436056726.88920003</c:v>
                </c:pt>
                <c:pt idx="7">
                  <c:v>436056726.88920003</c:v>
                </c:pt>
                <c:pt idx="8">
                  <c:v>436056726.88920003</c:v>
                </c:pt>
                <c:pt idx="9">
                  <c:v>436056726.88920003</c:v>
                </c:pt>
                <c:pt idx="10">
                  <c:v>730077232.21880007</c:v>
                </c:pt>
                <c:pt idx="11">
                  <c:v>730077232.21880007</c:v>
                </c:pt>
                <c:pt idx="12">
                  <c:v>730077232.21880007</c:v>
                </c:pt>
                <c:pt idx="13">
                  <c:v>730077232.21880007</c:v>
                </c:pt>
                <c:pt idx="14">
                  <c:v>730077232.21880007</c:v>
                </c:pt>
                <c:pt idx="15">
                  <c:v>730077232.21880007</c:v>
                </c:pt>
                <c:pt idx="16">
                  <c:v>730077232.21880007</c:v>
                </c:pt>
                <c:pt idx="17">
                  <c:v>730077232.21880007</c:v>
                </c:pt>
                <c:pt idx="18">
                  <c:v>730077232.21880007</c:v>
                </c:pt>
                <c:pt idx="19">
                  <c:v>730077232.21880007</c:v>
                </c:pt>
                <c:pt idx="20">
                  <c:v>730077232.21880007</c:v>
                </c:pt>
                <c:pt idx="21">
                  <c:v>730077232.21880007</c:v>
                </c:pt>
                <c:pt idx="22">
                  <c:v>730077232.21880007</c:v>
                </c:pt>
                <c:pt idx="23">
                  <c:v>730077232.21880007</c:v>
                </c:pt>
                <c:pt idx="24">
                  <c:v>730077232.21880007</c:v>
                </c:pt>
                <c:pt idx="25">
                  <c:v>730077232.21880007</c:v>
                </c:pt>
                <c:pt idx="26">
                  <c:v>730077232.21880007</c:v>
                </c:pt>
                <c:pt idx="27">
                  <c:v>730077232.21880007</c:v>
                </c:pt>
                <c:pt idx="28">
                  <c:v>730077232.21880007</c:v>
                </c:pt>
                <c:pt idx="29">
                  <c:v>730077232.21880007</c:v>
                </c:pt>
                <c:pt idx="30">
                  <c:v>730077232.21880007</c:v>
                </c:pt>
                <c:pt idx="31">
                  <c:v>730077232.21880007</c:v>
                </c:pt>
                <c:pt idx="32">
                  <c:v>730077232.21880007</c:v>
                </c:pt>
                <c:pt idx="33">
                  <c:v>730077232.21880007</c:v>
                </c:pt>
                <c:pt idx="34">
                  <c:v>730077232.21880007</c:v>
                </c:pt>
                <c:pt idx="35">
                  <c:v>730077232.21880007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98-4672-8BC7-1E7DFBF14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5288256"/>
        <c:axId val="1665370624"/>
      </c:barChart>
      <c:lineChart>
        <c:grouping val="standard"/>
        <c:varyColors val="0"/>
        <c:ser>
          <c:idx val="4"/>
          <c:order val="3"/>
          <c:tx>
            <c:strRef>
              <c:f>Inputs_Supply!$F$2</c:f>
              <c:strCache>
                <c:ptCount val="1"/>
                <c:pt idx="0">
                  <c:v>Desalination_m3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Inputs_Supply!$F$3:$F$38</c:f>
              <c:numCache>
                <c:formatCode>_(* #,##0.00_);_(* \(#,##0.00\);_(* "-"??_);_(@_)</c:formatCode>
                <c:ptCount val="36"/>
                <c:pt idx="0">
                  <c:v>210014646.66399997</c:v>
                </c:pt>
                <c:pt idx="1">
                  <c:v>210014646.66399997</c:v>
                </c:pt>
                <c:pt idx="2">
                  <c:v>210014646.66399997</c:v>
                </c:pt>
                <c:pt idx="3">
                  <c:v>210014646.66399997</c:v>
                </c:pt>
                <c:pt idx="4">
                  <c:v>210014646.66399997</c:v>
                </c:pt>
                <c:pt idx="5">
                  <c:v>210014646.66399997</c:v>
                </c:pt>
                <c:pt idx="6">
                  <c:v>210014646.66399997</c:v>
                </c:pt>
                <c:pt idx="7">
                  <c:v>210014646.66399997</c:v>
                </c:pt>
                <c:pt idx="8">
                  <c:v>210014646.66399997</c:v>
                </c:pt>
                <c:pt idx="9">
                  <c:v>210014646.66399997</c:v>
                </c:pt>
                <c:pt idx="10">
                  <c:v>210014646.66399997</c:v>
                </c:pt>
                <c:pt idx="11">
                  <c:v>210014646.66399997</c:v>
                </c:pt>
                <c:pt idx="12">
                  <c:v>210014646.66399997</c:v>
                </c:pt>
                <c:pt idx="13">
                  <c:v>210014646.66399997</c:v>
                </c:pt>
                <c:pt idx="14">
                  <c:v>210014646.66399997</c:v>
                </c:pt>
                <c:pt idx="15">
                  <c:v>210014646.66399997</c:v>
                </c:pt>
                <c:pt idx="16">
                  <c:v>210014646.66399997</c:v>
                </c:pt>
                <c:pt idx="17">
                  <c:v>210014646.66399997</c:v>
                </c:pt>
                <c:pt idx="18">
                  <c:v>210014646.66399997</c:v>
                </c:pt>
                <c:pt idx="19">
                  <c:v>210014646.66399997</c:v>
                </c:pt>
                <c:pt idx="20">
                  <c:v>210014646.66399997</c:v>
                </c:pt>
                <c:pt idx="21">
                  <c:v>210014646.66399997</c:v>
                </c:pt>
                <c:pt idx="22">
                  <c:v>210014646.66399997</c:v>
                </c:pt>
                <c:pt idx="23">
                  <c:v>210014646.66399997</c:v>
                </c:pt>
                <c:pt idx="24">
                  <c:v>210014646.66399997</c:v>
                </c:pt>
                <c:pt idx="25">
                  <c:v>210014646.66399997</c:v>
                </c:pt>
                <c:pt idx="26">
                  <c:v>210014646.66399997</c:v>
                </c:pt>
                <c:pt idx="27">
                  <c:v>210014646.66399997</c:v>
                </c:pt>
                <c:pt idx="28">
                  <c:v>210014646.66399997</c:v>
                </c:pt>
                <c:pt idx="29">
                  <c:v>210014646.66399997</c:v>
                </c:pt>
                <c:pt idx="30">
                  <c:v>210014646.66399997</c:v>
                </c:pt>
                <c:pt idx="31">
                  <c:v>210014646.66399997</c:v>
                </c:pt>
                <c:pt idx="32">
                  <c:v>210014646.66399997</c:v>
                </c:pt>
                <c:pt idx="33">
                  <c:v>210014646.66399997</c:v>
                </c:pt>
                <c:pt idx="34">
                  <c:v>210014646.66399997</c:v>
                </c:pt>
                <c:pt idx="35">
                  <c:v>210014646.66399997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98-4672-8BC7-1E7DFBF14C1C}"/>
            </c:ext>
          </c:extLst>
        </c:ser>
        <c:ser>
          <c:idx val="5"/>
          <c:order val="4"/>
          <c:tx>
            <c:strRef>
              <c:f>Inputs_Supply!$G$2</c:f>
              <c:strCache>
                <c:ptCount val="1"/>
                <c:pt idx="0">
                  <c:v>TotalSupply_m3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Inputs_Supply!$G$3:$G$38</c:f>
              <c:numCache>
                <c:formatCode>_(* #,##0.00_);_(* \(#,##0.00\);_(* "-"??_);_(@_)</c:formatCode>
                <c:ptCount val="36"/>
                <c:pt idx="0">
                  <c:v>1029145350.5033813</c:v>
                </c:pt>
                <c:pt idx="1">
                  <c:v>1029145350.5033813</c:v>
                </c:pt>
                <c:pt idx="2">
                  <c:v>1263477482.5705814</c:v>
                </c:pt>
                <c:pt idx="3">
                  <c:v>1263477482.5705814</c:v>
                </c:pt>
                <c:pt idx="4">
                  <c:v>1263477482.5705814</c:v>
                </c:pt>
                <c:pt idx="5">
                  <c:v>1263477482.5705814</c:v>
                </c:pt>
                <c:pt idx="6">
                  <c:v>1263477482.5705814</c:v>
                </c:pt>
                <c:pt idx="7">
                  <c:v>1263477482.5705814</c:v>
                </c:pt>
                <c:pt idx="8">
                  <c:v>1263477482.5705814</c:v>
                </c:pt>
                <c:pt idx="9">
                  <c:v>1263477482.5705814</c:v>
                </c:pt>
                <c:pt idx="10">
                  <c:v>1557497987.9001813</c:v>
                </c:pt>
                <c:pt idx="11">
                  <c:v>1557497987.9001813</c:v>
                </c:pt>
                <c:pt idx="12">
                  <c:v>1557497987.9001813</c:v>
                </c:pt>
                <c:pt idx="13">
                  <c:v>1557497987.9001813</c:v>
                </c:pt>
                <c:pt idx="14">
                  <c:v>1557497987.9001813</c:v>
                </c:pt>
                <c:pt idx="15">
                  <c:v>1557497987.9001813</c:v>
                </c:pt>
                <c:pt idx="16">
                  <c:v>1557497987.9001813</c:v>
                </c:pt>
                <c:pt idx="17">
                  <c:v>1557497987.9001813</c:v>
                </c:pt>
                <c:pt idx="18">
                  <c:v>1557497987.9001813</c:v>
                </c:pt>
                <c:pt idx="19">
                  <c:v>1557497987.9001813</c:v>
                </c:pt>
                <c:pt idx="20">
                  <c:v>1557497987.9001813</c:v>
                </c:pt>
                <c:pt idx="21">
                  <c:v>1557497987.9001813</c:v>
                </c:pt>
                <c:pt idx="22">
                  <c:v>1557497987.9001813</c:v>
                </c:pt>
                <c:pt idx="23">
                  <c:v>1557497987.9001813</c:v>
                </c:pt>
                <c:pt idx="24">
                  <c:v>1557497987.9001813</c:v>
                </c:pt>
                <c:pt idx="25">
                  <c:v>1557497987.9001813</c:v>
                </c:pt>
                <c:pt idx="26">
                  <c:v>1557497987.9001813</c:v>
                </c:pt>
                <c:pt idx="27">
                  <c:v>1557497987.9001813</c:v>
                </c:pt>
                <c:pt idx="28">
                  <c:v>1557497987.9001813</c:v>
                </c:pt>
                <c:pt idx="29">
                  <c:v>1557497987.9001813</c:v>
                </c:pt>
                <c:pt idx="30">
                  <c:v>1557497987.9001813</c:v>
                </c:pt>
                <c:pt idx="31">
                  <c:v>1557497987.9001813</c:v>
                </c:pt>
                <c:pt idx="32">
                  <c:v>1557497987.9001813</c:v>
                </c:pt>
                <c:pt idx="33">
                  <c:v>1557497987.9001813</c:v>
                </c:pt>
                <c:pt idx="34">
                  <c:v>1557497987.9001813</c:v>
                </c:pt>
                <c:pt idx="35">
                  <c:v>1557497987.9001813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98-4672-8BC7-1E7DFBF14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562368"/>
        <c:axId val="297560640"/>
      </c:lineChart>
      <c:catAx>
        <c:axId val="166528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370624"/>
        <c:crosses val="autoZero"/>
        <c:auto val="1"/>
        <c:lblAlgn val="ctr"/>
        <c:lblOffset val="100"/>
        <c:noMultiLvlLbl val="0"/>
      </c:catAx>
      <c:valAx>
        <c:axId val="166537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88256"/>
        <c:crosses val="autoZero"/>
        <c:crossBetween val="between"/>
      </c:valAx>
      <c:valAx>
        <c:axId val="297560640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62368"/>
        <c:crosses val="max"/>
        <c:crossBetween val="between"/>
      </c:valAx>
      <c:catAx>
        <c:axId val="297562368"/>
        <c:scaling>
          <c:orientation val="minMax"/>
        </c:scaling>
        <c:delete val="1"/>
        <c:axPos val="b"/>
        <c:majorTickMark val="out"/>
        <c:minorTickMark val="none"/>
        <c:tickLblPos val="nextTo"/>
        <c:crossAx val="297560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Reserve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'Trade-off Analysis'!$E$3:$E$37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'Trade-off Analysis'!$G$3:$G$37</c:f>
              <c:numCache>
                <c:formatCode>0%</c:formatCode>
                <c:ptCount val="35"/>
                <c:pt idx="0">
                  <c:v>0.29040671884550395</c:v>
                </c:pt>
                <c:pt idx="1">
                  <c:v>0.54048421029880811</c:v>
                </c:pt>
                <c:pt idx="2">
                  <c:v>0.50086280557919349</c:v>
                </c:pt>
                <c:pt idx="3">
                  <c:v>0.46415043713541237</c:v>
                </c:pt>
                <c:pt idx="4">
                  <c:v>0.42971546289683271</c:v>
                </c:pt>
                <c:pt idx="5">
                  <c:v>0.39716842516838224</c:v>
                </c:pt>
                <c:pt idx="6">
                  <c:v>0.36624323442778906</c:v>
                </c:pt>
                <c:pt idx="7">
                  <c:v>0.33674505965132528</c:v>
                </c:pt>
                <c:pt idx="8">
                  <c:v>0.30852399187456681</c:v>
                </c:pt>
                <c:pt idx="9">
                  <c:v>0.5796655845519576</c:v>
                </c:pt>
                <c:pt idx="10">
                  <c:v>0.54760955734517736</c:v>
                </c:pt>
                <c:pt idx="11">
                  <c:v>0.51675723684453723</c:v>
                </c:pt>
                <c:pt idx="12">
                  <c:v>0.48702151847767761</c:v>
                </c:pt>
                <c:pt idx="13">
                  <c:v>0.45832679561933887</c:v>
                </c:pt>
                <c:pt idx="14">
                  <c:v>0.43060664197735687</c:v>
                </c:pt>
                <c:pt idx="15">
                  <c:v>0.40380210243604853</c:v>
                </c:pt>
                <c:pt idx="16">
                  <c:v>0.37786040239214724</c:v>
                </c:pt>
                <c:pt idx="17">
                  <c:v>0.35273395281400499</c:v>
                </c:pt>
                <c:pt idx="18">
                  <c:v>0.32837956926988299</c:v>
                </c:pt>
                <c:pt idx="19">
                  <c:v>0.30475784903659475</c:v>
                </c:pt>
                <c:pt idx="20">
                  <c:v>0.28183266718489852</c:v>
                </c:pt>
                <c:pt idx="21">
                  <c:v>0.25957076371037568</c:v>
                </c:pt>
                <c:pt idx="22">
                  <c:v>0.23794140138518505</c:v>
                </c:pt>
                <c:pt idx="23">
                  <c:v>0.21691607929134515</c:v>
                </c:pt>
                <c:pt idx="24">
                  <c:v>0.19646829073665351</c:v>
                </c:pt>
                <c:pt idx="25">
                  <c:v>0.17657331694604017</c:v>
                </c:pt>
                <c:pt idx="26">
                  <c:v>0.15720804988788628</c:v>
                </c:pt>
                <c:pt idx="27">
                  <c:v>0.13835083905211842</c:v>
                </c:pt>
                <c:pt idx="28">
                  <c:v>0.11998135809059551</c:v>
                </c:pt>
                <c:pt idx="29">
                  <c:v>0.10208048806100156</c:v>
                </c:pt>
                <c:pt idx="30">
                  <c:v>9.9999161215776899E-2</c:v>
                </c:pt>
                <c:pt idx="31">
                  <c:v>0.10000000000075016</c:v>
                </c:pt>
                <c:pt idx="32">
                  <c:v>0.10000000000000009</c:v>
                </c:pt>
                <c:pt idx="33">
                  <c:v>0.10000000000000009</c:v>
                </c:pt>
                <c:pt idx="34">
                  <c:v>0.10000000000000009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DD-4E6D-BE00-C22F6DD58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88431"/>
        <c:axId val="118985551"/>
      </c:lineChart>
      <c:catAx>
        <c:axId val="11898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5551"/>
        <c:crosses val="autoZero"/>
        <c:auto val="1"/>
        <c:lblAlgn val="ctr"/>
        <c:lblOffset val="100"/>
        <c:noMultiLvlLbl val="0"/>
      </c:catAx>
      <c:valAx>
        <c:axId val="1189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Sensitivity of Reserve Security to Tariff Elasticity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'Sensitivity Analysis'!$C$40</c:f>
              <c:strCache>
                <c:ptCount val="1"/>
                <c:pt idx="0">
                  <c:v>ReserveMargin_%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'Sensitivity Analysis'!$D$40:$M$40</c:f>
              <c:numCache>
                <c:formatCode>General</c:formatCode>
                <c:ptCount val="10"/>
                <c:pt idx="0">
                  <c:v>-0.1</c:v>
                </c:pt>
                <c:pt idx="1">
                  <c:v>-0.2</c:v>
                </c:pt>
                <c:pt idx="2">
                  <c:v>-0.3</c:v>
                </c:pt>
                <c:pt idx="3">
                  <c:v>-0.4</c:v>
                </c:pt>
                <c:pt idx="4">
                  <c:v>-0.5</c:v>
                </c:pt>
                <c:pt idx="5">
                  <c:v>-0.6</c:v>
                </c:pt>
                <c:pt idx="6">
                  <c:v>-0.7</c:v>
                </c:pt>
                <c:pt idx="7">
                  <c:v>-0.8</c:v>
                </c:pt>
                <c:pt idx="8">
                  <c:v>-0.9</c:v>
                </c:pt>
                <c:pt idx="9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1-4980-83EC-CBA58DDD8939}"/>
            </c:ext>
          </c:extLst>
        </c:ser>
        <c:ser>
          <c:idx val="1"/>
          <c:order val="1"/>
          <c:tx>
            <c:strRef>
              <c:f>'Sensitivity Analysis'!$C$41</c:f>
              <c:strCache>
                <c:ptCount val="1"/>
                <c:pt idx="0">
                  <c:v>10.0%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'Sensitivity Analysis'!$D$41:$M$41</c:f>
              <c:numCache>
                <c:formatCode>0.00%</c:formatCode>
                <c:ptCount val="10"/>
                <c:pt idx="0">
                  <c:v>5.7956522763624951E-2</c:v>
                </c:pt>
                <c:pt idx="1">
                  <c:v>0.10000000000000009</c:v>
                </c:pt>
                <c:pt idx="2">
                  <c:v>0.14552340888191817</c:v>
                </c:pt>
                <c:pt idx="3">
                  <c:v>0.19497745173653169</c:v>
                </c:pt>
                <c:pt idx="4">
                  <c:v>0.24889417264870395</c:v>
                </c:pt>
                <c:pt idx="5">
                  <c:v>0.30790617502204909</c:v>
                </c:pt>
                <c:pt idx="6">
                  <c:v>0.37277155768985804</c:v>
                </c:pt>
                <c:pt idx="7">
                  <c:v>0.44440665844660021</c:v>
                </c:pt>
                <c:pt idx="8">
                  <c:v>0.52392961390618309</c:v>
                </c:pt>
                <c:pt idx="9">
                  <c:v>0.61271914706932695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F1-4980-83EC-CBA58DDD8939}"/>
            </c:ext>
          </c:extLst>
        </c:ser>
        <c:ser>
          <c:idx val="2"/>
          <c:order val="2"/>
          <c:tx>
            <c:strRef>
              <c:f>'Sensitivity Analysis'!$C$42</c:f>
              <c:strCache>
                <c:ptCount val="1"/>
                <c:pt idx="0">
                  <c:v>Margin change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'Sensitivity Analysis'!$D$42:$M$42</c:f>
              <c:numCache>
                <c:formatCode>0.00%</c:formatCode>
                <c:ptCount val="10"/>
                <c:pt idx="0">
                  <c:v>-4.2043477236375137E-2</c:v>
                </c:pt>
                <c:pt idx="1">
                  <c:v>0</c:v>
                </c:pt>
                <c:pt idx="2">
                  <c:v>4.5523408881918082E-2</c:v>
                </c:pt>
                <c:pt idx="3">
                  <c:v>9.4977451736531604E-2</c:v>
                </c:pt>
                <c:pt idx="4">
                  <c:v>0.14889417264870386</c:v>
                </c:pt>
                <c:pt idx="5">
                  <c:v>0.207906175022049</c:v>
                </c:pt>
                <c:pt idx="6">
                  <c:v>0.27277155768985795</c:v>
                </c:pt>
                <c:pt idx="7">
                  <c:v>0.34440665844660012</c:v>
                </c:pt>
                <c:pt idx="8">
                  <c:v>0.423929613906183</c:v>
                </c:pt>
                <c:pt idx="9">
                  <c:v>0.51271914706932686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F1-4980-83EC-CBA58DDD8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8633200"/>
        <c:axId val="2058622160"/>
      </c:barChart>
      <c:catAx>
        <c:axId val="205863320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22160"/>
        <c:crosses val="autoZero"/>
        <c:auto val="1"/>
        <c:lblAlgn val="ctr"/>
        <c:lblOffset val="100"/>
        <c:noMultiLvlLbl val="0"/>
      </c:catAx>
      <c:valAx>
        <c:axId val="205862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3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/>
              <a:t>Singapore Water Demand vs Supply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Results_Dashboard!$C$2</c:f>
              <c:strCache>
                <c:ptCount val="1"/>
                <c:pt idx="0">
                  <c:v>TotalDemand_m3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Results_Dashboard!$B$3:$B$37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Results_Dashboard!$C$3:$C$37</c:f>
              <c:numCache>
                <c:formatCode>_-* #,##0.00_-;\-* #,##0.00_-;_-* "-"??_-;_-@_-</c:formatCode>
                <c:ptCount val="35"/>
                <c:pt idx="0">
                  <c:v>797535641.64958239</c:v>
                </c:pt>
                <c:pt idx="1">
                  <c:v>820182040.24662113</c:v>
                </c:pt>
                <c:pt idx="2">
                  <c:v>841834095.61075544</c:v>
                </c:pt>
                <c:pt idx="3">
                  <c:v>862942393.43503225</c:v>
                </c:pt>
                <c:pt idx="4">
                  <c:v>883726528.36150599</c:v>
                </c:pt>
                <c:pt idx="5">
                  <c:v>904312937.37425482</c:v>
                </c:pt>
                <c:pt idx="6">
                  <c:v>924782242.81912136</c:v>
                </c:pt>
                <c:pt idx="7">
                  <c:v>945189565.83998537</c:v>
                </c:pt>
                <c:pt idx="8">
                  <c:v>965574563.71934557</c:v>
                </c:pt>
                <c:pt idx="9">
                  <c:v>985966905.35733628</c:v>
                </c:pt>
                <c:pt idx="10">
                  <c:v>1006389486.6170037</c:v>
                </c:pt>
                <c:pt idx="11">
                  <c:v>1026860429.6495075</c:v>
                </c:pt>
                <c:pt idx="12">
                  <c:v>1047394384.3762619</c:v>
                </c:pt>
                <c:pt idx="13">
                  <c:v>1068003408.1378345</c:v>
                </c:pt>
                <c:pt idx="14">
                  <c:v>1088697579.1944022</c:v>
                </c:pt>
                <c:pt idx="15">
                  <c:v>1109485436.1575758</c:v>
                </c:pt>
                <c:pt idx="16">
                  <c:v>1130374300.0351555</c:v>
                </c:pt>
                <c:pt idx="17">
                  <c:v>1151370514.9931507</c:v>
                </c:pt>
                <c:pt idx="18">
                  <c:v>1172479631.5229604</c:v>
                </c:pt>
                <c:pt idx="19">
                  <c:v>1193706547.9622939</c:v>
                </c:pt>
                <c:pt idx="20">
                  <c:v>1215055621.3555441</c:v>
                </c:pt>
                <c:pt idx="21">
                  <c:v>1236530755.3758931</c:v>
                </c:pt>
                <c:pt idx="22">
                  <c:v>1258135470.8368514</c:v>
                </c:pt>
                <c:pt idx="23">
                  <c:v>1279872962.8152909</c:v>
                </c:pt>
                <c:pt idx="24">
                  <c:v>1301746147.3561037</c:v>
                </c:pt>
                <c:pt idx="25">
                  <c:v>1323757699.9815738</c:v>
                </c:pt>
                <c:pt idx="26">
                  <c:v>1345910087.690002</c:v>
                </c:pt>
                <c:pt idx="27">
                  <c:v>1368205595.7345085</c:v>
                </c:pt>
                <c:pt idx="28">
                  <c:v>1390646350.1816564</c:v>
                </c:pt>
                <c:pt idx="29">
                  <c:v>1413234337.0314455</c:v>
                </c:pt>
                <c:pt idx="30">
                  <c:v>1415908341.4015994</c:v>
                </c:pt>
                <c:pt idx="31">
                  <c:v>1415907261.7264719</c:v>
                </c:pt>
                <c:pt idx="32">
                  <c:v>1415907261.7274375</c:v>
                </c:pt>
                <c:pt idx="33">
                  <c:v>1415907261.7274375</c:v>
                </c:pt>
                <c:pt idx="34">
                  <c:v>1415907261.7274375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F8-46BC-91D3-42AFE6F6403D}"/>
            </c:ext>
          </c:extLst>
        </c:ser>
        <c:ser>
          <c:idx val="1"/>
          <c:order val="1"/>
          <c:tx>
            <c:strRef>
              <c:f>Results_Dashboard!$D$2</c:f>
              <c:strCache>
                <c:ptCount val="1"/>
                <c:pt idx="0">
                  <c:v>TotalSupply_m3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Results_Dashboard!$B$3:$B$37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Results_Dashboard!$D$3:$D$37</c:f>
              <c:numCache>
                <c:formatCode>_-* #,##0.00_-;\-* #,##0.00_-;_-* "-"??_-;_-@_-</c:formatCode>
                <c:ptCount val="35"/>
                <c:pt idx="0">
                  <c:v>1029145350.5033813</c:v>
                </c:pt>
                <c:pt idx="1">
                  <c:v>1263477482.5705814</c:v>
                </c:pt>
                <c:pt idx="2">
                  <c:v>1263477482.5705814</c:v>
                </c:pt>
                <c:pt idx="3">
                  <c:v>1263477482.5705814</c:v>
                </c:pt>
                <c:pt idx="4">
                  <c:v>1263477482.5705814</c:v>
                </c:pt>
                <c:pt idx="5">
                  <c:v>1263477482.5705814</c:v>
                </c:pt>
                <c:pt idx="6">
                  <c:v>1263477482.5705814</c:v>
                </c:pt>
                <c:pt idx="7">
                  <c:v>1263477482.5705814</c:v>
                </c:pt>
                <c:pt idx="8">
                  <c:v>1263477482.5705814</c:v>
                </c:pt>
                <c:pt idx="9">
                  <c:v>1557497987.9001813</c:v>
                </c:pt>
                <c:pt idx="10">
                  <c:v>1557497987.9001813</c:v>
                </c:pt>
                <c:pt idx="11">
                  <c:v>1557497987.9001813</c:v>
                </c:pt>
                <c:pt idx="12">
                  <c:v>1557497987.9001813</c:v>
                </c:pt>
                <c:pt idx="13">
                  <c:v>1557497987.9001813</c:v>
                </c:pt>
                <c:pt idx="14">
                  <c:v>1557497987.9001813</c:v>
                </c:pt>
                <c:pt idx="15">
                  <c:v>1557497987.9001813</c:v>
                </c:pt>
                <c:pt idx="16">
                  <c:v>1557497987.9001813</c:v>
                </c:pt>
                <c:pt idx="17">
                  <c:v>1557497987.9001813</c:v>
                </c:pt>
                <c:pt idx="18">
                  <c:v>1557497987.9001813</c:v>
                </c:pt>
                <c:pt idx="19">
                  <c:v>1557497987.9001813</c:v>
                </c:pt>
                <c:pt idx="20">
                  <c:v>1557497987.9001813</c:v>
                </c:pt>
                <c:pt idx="21">
                  <c:v>1557497987.9001813</c:v>
                </c:pt>
                <c:pt idx="22">
                  <c:v>1557497987.9001813</c:v>
                </c:pt>
                <c:pt idx="23">
                  <c:v>1557497987.9001813</c:v>
                </c:pt>
                <c:pt idx="24">
                  <c:v>1557497987.9001813</c:v>
                </c:pt>
                <c:pt idx="25">
                  <c:v>1557497987.9001813</c:v>
                </c:pt>
                <c:pt idx="26">
                  <c:v>1557497987.9001813</c:v>
                </c:pt>
                <c:pt idx="27">
                  <c:v>1557497987.9001813</c:v>
                </c:pt>
                <c:pt idx="28">
                  <c:v>1557497987.9001813</c:v>
                </c:pt>
                <c:pt idx="29">
                  <c:v>1557497987.9001813</c:v>
                </c:pt>
                <c:pt idx="30">
                  <c:v>1557497987.9001813</c:v>
                </c:pt>
                <c:pt idx="31">
                  <c:v>1557497987.9001813</c:v>
                </c:pt>
                <c:pt idx="32">
                  <c:v>1557497987.9001813</c:v>
                </c:pt>
                <c:pt idx="33">
                  <c:v>1557497987.9001813</c:v>
                </c:pt>
                <c:pt idx="34">
                  <c:v>1557497987.9001813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F8-46BC-91D3-42AFE6F64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Volume (Million m³)</a:t>
                </a:r>
              </a:p>
            </c:rich>
          </c:tx>
          <c:overlay val="0"/>
        </c:title>
        <c:numFmt formatCode="_-* #,##0.00_-;\-* #,##0.00_-;_-* &quot;-&quot;??_-;_-@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/>
              <a:t>Reserve Margin Over Time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979882458432873"/>
          <c:y val="0.16133599108934912"/>
          <c:w val="0.66319890062689701"/>
          <c:h val="0.69070640067050437"/>
        </c:manualLayout>
      </c:layout>
      <c:lineChart>
        <c:grouping val="standard"/>
        <c:varyColors val="0"/>
        <c:ser>
          <c:idx val="0"/>
          <c:order val="0"/>
          <c:tx>
            <c:strRef>
              <c:f>Results_Dashboard!$E$2</c:f>
              <c:strCache>
                <c:ptCount val="1"/>
                <c:pt idx="0">
                  <c:v>ReserveMargin_%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Results_Dashboard!$B$3:$B$37</c:f>
              <c:numCache>
                <c:formatCode>General</c:formatCode>
                <c:ptCount val="3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</c:numCache>
            </c:numRef>
          </c:cat>
          <c:val>
            <c:numRef>
              <c:f>Results_Dashboard!$E$3:$E$37</c:f>
              <c:numCache>
                <c:formatCode>0.00%</c:formatCode>
                <c:ptCount val="35"/>
                <c:pt idx="0">
                  <c:v>0.29040671884550395</c:v>
                </c:pt>
                <c:pt idx="1">
                  <c:v>0.54048421029880811</c:v>
                </c:pt>
                <c:pt idx="2">
                  <c:v>0.50086280557919349</c:v>
                </c:pt>
                <c:pt idx="3">
                  <c:v>0.46415043713541237</c:v>
                </c:pt>
                <c:pt idx="4">
                  <c:v>0.42971546289683271</c:v>
                </c:pt>
                <c:pt idx="5">
                  <c:v>0.39716842516838224</c:v>
                </c:pt>
                <c:pt idx="6">
                  <c:v>0.36624323442778906</c:v>
                </c:pt>
                <c:pt idx="7">
                  <c:v>0.33674505965132528</c:v>
                </c:pt>
                <c:pt idx="8">
                  <c:v>0.30852399187456681</c:v>
                </c:pt>
                <c:pt idx="9">
                  <c:v>0.5796655845519576</c:v>
                </c:pt>
                <c:pt idx="10">
                  <c:v>0.54760955734517736</c:v>
                </c:pt>
                <c:pt idx="11">
                  <c:v>0.51675723684453723</c:v>
                </c:pt>
                <c:pt idx="12">
                  <c:v>0.48702151847767761</c:v>
                </c:pt>
                <c:pt idx="13">
                  <c:v>0.45832679561933887</c:v>
                </c:pt>
                <c:pt idx="14">
                  <c:v>0.43060664197735687</c:v>
                </c:pt>
                <c:pt idx="15">
                  <c:v>0.40380210243604853</c:v>
                </c:pt>
                <c:pt idx="16">
                  <c:v>0.37786040239214724</c:v>
                </c:pt>
                <c:pt idx="17">
                  <c:v>0.35273395281400499</c:v>
                </c:pt>
                <c:pt idx="18">
                  <c:v>0.32837956926988299</c:v>
                </c:pt>
                <c:pt idx="19">
                  <c:v>0.30475784903659475</c:v>
                </c:pt>
                <c:pt idx="20">
                  <c:v>0.28183266718489852</c:v>
                </c:pt>
                <c:pt idx="21">
                  <c:v>0.25957076371037568</c:v>
                </c:pt>
                <c:pt idx="22">
                  <c:v>0.23794140138518505</c:v>
                </c:pt>
                <c:pt idx="23">
                  <c:v>0.21691607929134515</c:v>
                </c:pt>
                <c:pt idx="24">
                  <c:v>0.19646829073665351</c:v>
                </c:pt>
                <c:pt idx="25">
                  <c:v>0.17657331694604017</c:v>
                </c:pt>
                <c:pt idx="26">
                  <c:v>0.15720804988788628</c:v>
                </c:pt>
                <c:pt idx="27">
                  <c:v>0.13835083905211842</c:v>
                </c:pt>
                <c:pt idx="28">
                  <c:v>0.11998135809059551</c:v>
                </c:pt>
                <c:pt idx="29">
                  <c:v>0.10208048806100156</c:v>
                </c:pt>
                <c:pt idx="30">
                  <c:v>9.9999161215776899E-2</c:v>
                </c:pt>
                <c:pt idx="31">
                  <c:v>0.10000000000075016</c:v>
                </c:pt>
                <c:pt idx="32">
                  <c:v>0.10000000000000009</c:v>
                </c:pt>
                <c:pt idx="33">
                  <c:v>0.10000000000000009</c:v>
                </c:pt>
                <c:pt idx="34">
                  <c:v>0.10000000000000009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4-47CB-A056-C93DE2152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Reserve Margin (decimal)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580988</xdr:colOff>
      <xdr:row>3</xdr:row>
      <xdr:rowOff>146358</xdr:rowOff>
    </xdr:from>
    <xdr:to>
      <xdr:col>16</xdr:col>
      <xdr:colOff>439972</xdr:colOff>
      <xdr:row>32</xdr:row>
      <xdr:rowOff>68956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593DAD-C124-49C1-A3D4-308ED83DB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4</xdr:row>
      <xdr:rowOff>9525</xdr:rowOff>
    </xdr:from>
    <xdr:to>
      <xdr:col>20</xdr:col>
      <xdr:colOff>333375</xdr:colOff>
      <xdr:row>37</xdr:row>
      <xdr:rowOff>142875</xdr:rowOff>
    </xdr:to>
    <xdr:graphicFrame macro="">
      <xdr:nvGraphicFramePr>
        <xdr:cNvPr id="74" name="Chart 6" descr="Chart type: Line. 'Total Consumption (litres/day)^', 'Forcast Total Consumption(litres/day)^' by 'Year'&#10;&#10;Description automatically generated">
          <a:extLst>
            <a:ext uri="{FF2B5EF4-FFF2-40B4-BE49-F238E27FC236}">
              <a16:creationId xmlns:a16="http://schemas.microsoft.com/office/drawing/2014/main" id="{E6A318F6-0B59-F5DB-D052-A67D1B697727}"/>
            </a:ext>
            <a:ext uri="{147F2762-F138-4A5C-976F-8EAC2B608ADB}">
              <a16:predDERef xmlns:a16="http://schemas.microsoft.com/office/drawing/2014/main" pred="{9C830892-9CFD-49AB-806D-FDFE92114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98613</xdr:colOff>
      <xdr:row>2</xdr:row>
      <xdr:rowOff>161365</xdr:rowOff>
    </xdr:from>
    <xdr:to>
      <xdr:col>18</xdr:col>
      <xdr:colOff>440925</xdr:colOff>
      <xdr:row>24</xdr:row>
      <xdr:rowOff>148237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25074117-F80C-4EF6-BDB1-130424DA0C89}"/>
            </a:ext>
            <a:ext uri="{147F2762-F138-4A5C-976F-8EAC2B608ADB}">
              <a16:predDERef xmlns:a16="http://schemas.microsoft.com/office/drawing/2014/main" pred="{1EA8ABC8-B1EC-47EF-9883-AEDA48725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126288</xdr:colOff>
      <xdr:row>43</xdr:row>
      <xdr:rowOff>181429</xdr:rowOff>
    </xdr:from>
    <xdr:to>
      <xdr:col>12</xdr:col>
      <xdr:colOff>768989</xdr:colOff>
      <xdr:row>46</xdr:row>
      <xdr:rowOff>10671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44BB48-CE17-4E42-888F-36640441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2628" y="8045269"/>
          <a:ext cx="2296241" cy="377883"/>
        </a:xfrm>
        <a:prstGeom prst="rect">
          <a:avLst/>
        </a:prstGeom>
      </xdr:spPr>
    </xdr:pic>
    <xdr:clientData/>
  </xdr:twoCellAnchor>
  <xdr:twoCellAnchor>
    <xdr:from>
      <xdr:col>0</xdr:col>
      <xdr:colOff>140365</xdr:colOff>
      <xdr:row>39</xdr:row>
      <xdr:rowOff>13607</xdr:rowOff>
    </xdr:from>
    <xdr:to>
      <xdr:col>7</xdr:col>
      <xdr:colOff>857250</xdr:colOff>
      <xdr:row>67</xdr:row>
      <xdr:rowOff>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DFE36E-923F-409D-B0AC-AF4508BC0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35860</xdr:colOff>
      <xdr:row>5</xdr:row>
      <xdr:rowOff>141941</xdr:rowOff>
    </xdr:from>
    <xdr:to>
      <xdr:col>13</xdr:col>
      <xdr:colOff>129989</xdr:colOff>
      <xdr:row>33</xdr:row>
      <xdr:rowOff>2989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D66AA1-C5A9-8865-3D95-E8560B04B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4</xdr:row>
      <xdr:rowOff>170329</xdr:rowOff>
    </xdr:from>
    <xdr:to>
      <xdr:col>24</xdr:col>
      <xdr:colOff>600636</xdr:colOff>
      <xdr:row>41</xdr:row>
      <xdr:rowOff>171450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596AB37-5D6A-9B7F-A68E-2ED8C8934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305177" cy="3414060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601083</xdr:colOff>
      <xdr:row>21</xdr:row>
      <xdr:rowOff>67534</xdr:rowOff>
    </xdr:from>
    <xdr:ext cx="6473564" cy="254717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26D506-0145-4274-ADA5-D5833BF41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4"/>
  <sheetViews>
    <sheetView showGridLines="0" zoomScale="75" zoomScaleNormal="85" workbookViewId="0">
      <selection activeCell="E29" sqref="E29"/>
    </sheetView>
  </sheetViews>
  <sheetFormatPr defaultRowHeight="14.4" x14ac:dyDescent="0.3"/>
  <cols>
    <col min="2" max="2" width="11" style="1" customWidth="1"/>
    <col min="3" max="3" width="16.88671875" style="2" customWidth="1"/>
    <col min="4" max="4" width="16.109375" style="2" customWidth="1"/>
    <col min="5" max="5" width="20.6640625" style="2" customWidth="1"/>
    <col min="6" max="6" width="23.109375" style="2" customWidth="1"/>
    <col min="8" max="9" width="23.109375" bestFit="1" customWidth="1"/>
  </cols>
  <sheetData>
    <row r="2" spans="2:8" s="2" customFormat="1" ht="34.5" customHeight="1" x14ac:dyDescent="0.3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H2"/>
    </row>
    <row r="3" spans="2:8" x14ac:dyDescent="0.3">
      <c r="B3" s="4">
        <v>2000</v>
      </c>
      <c r="C3" s="89">
        <v>4027887</v>
      </c>
      <c r="D3" s="5"/>
      <c r="E3" s="6"/>
      <c r="F3" s="6"/>
    </row>
    <row r="4" spans="2:8" x14ac:dyDescent="0.3">
      <c r="B4" s="4">
        <v>2001</v>
      </c>
      <c r="C4" s="89">
        <v>4138012</v>
      </c>
      <c r="D4" s="5"/>
      <c r="E4" s="6"/>
      <c r="F4" s="6"/>
    </row>
    <row r="5" spans="2:8" x14ac:dyDescent="0.3">
      <c r="B5" s="4">
        <v>2002</v>
      </c>
      <c r="C5" s="89">
        <v>4175950</v>
      </c>
      <c r="D5" s="5"/>
      <c r="E5" s="6"/>
      <c r="F5" s="6"/>
    </row>
    <row r="6" spans="2:8" x14ac:dyDescent="0.3">
      <c r="B6" s="4">
        <v>2003</v>
      </c>
      <c r="C6" s="89">
        <v>4114826</v>
      </c>
      <c r="D6" s="5"/>
      <c r="E6" s="6"/>
      <c r="F6" s="6"/>
    </row>
    <row r="7" spans="2:8" x14ac:dyDescent="0.3">
      <c r="B7" s="4">
        <v>2004</v>
      </c>
      <c r="C7" s="89">
        <v>4166664</v>
      </c>
      <c r="D7" s="5"/>
      <c r="E7" s="6"/>
      <c r="F7" s="6"/>
    </row>
    <row r="8" spans="2:8" x14ac:dyDescent="0.3">
      <c r="B8" s="4">
        <v>2005</v>
      </c>
      <c r="C8" s="89">
        <v>4265762</v>
      </c>
      <c r="D8" s="5"/>
      <c r="E8" s="6"/>
      <c r="F8" s="6"/>
    </row>
    <row r="9" spans="2:8" x14ac:dyDescent="0.3">
      <c r="B9" s="4">
        <v>2006</v>
      </c>
      <c r="C9" s="89">
        <v>4401365</v>
      </c>
      <c r="D9" s="5"/>
      <c r="E9" s="6"/>
      <c r="F9" s="6"/>
    </row>
    <row r="10" spans="2:8" x14ac:dyDescent="0.3">
      <c r="B10" s="4">
        <v>2007</v>
      </c>
      <c r="C10" s="89">
        <v>4588599</v>
      </c>
      <c r="D10" s="5"/>
      <c r="E10" s="6"/>
      <c r="F10" s="6"/>
    </row>
    <row r="11" spans="2:8" x14ac:dyDescent="0.3">
      <c r="B11" s="4">
        <v>2008</v>
      </c>
      <c r="C11" s="89">
        <v>4839396</v>
      </c>
      <c r="D11" s="5"/>
      <c r="E11" s="6"/>
      <c r="F11" s="6"/>
    </row>
    <row r="12" spans="2:8" x14ac:dyDescent="0.3">
      <c r="B12" s="4">
        <v>2009</v>
      </c>
      <c r="C12" s="89">
        <v>4987573</v>
      </c>
      <c r="D12" s="5"/>
      <c r="E12" s="6"/>
      <c r="F12" s="6"/>
    </row>
    <row r="13" spans="2:8" x14ac:dyDescent="0.3">
      <c r="B13" s="4">
        <v>2010</v>
      </c>
      <c r="C13" s="89">
        <v>5076732</v>
      </c>
      <c r="D13" s="5"/>
      <c r="E13" s="6"/>
      <c r="F13" s="6"/>
    </row>
    <row r="14" spans="2:8" x14ac:dyDescent="0.3">
      <c r="B14" s="4">
        <v>2011</v>
      </c>
      <c r="C14" s="89">
        <v>5183688</v>
      </c>
      <c r="D14" s="5"/>
      <c r="E14" s="6"/>
      <c r="F14" s="6"/>
    </row>
    <row r="15" spans="2:8" x14ac:dyDescent="0.3">
      <c r="B15" s="4">
        <v>2012</v>
      </c>
      <c r="C15" s="89">
        <v>5312437</v>
      </c>
      <c r="D15" s="5"/>
      <c r="E15" s="6"/>
      <c r="F15" s="6"/>
    </row>
    <row r="16" spans="2:8" x14ac:dyDescent="0.3">
      <c r="B16" s="4">
        <v>2013</v>
      </c>
      <c r="C16" s="89">
        <v>5399162</v>
      </c>
      <c r="D16" s="5"/>
      <c r="E16" s="6"/>
      <c r="F16" s="6"/>
    </row>
    <row r="17" spans="2:6" x14ac:dyDescent="0.3">
      <c r="B17" s="4">
        <v>2014</v>
      </c>
      <c r="C17" s="89">
        <v>5469724</v>
      </c>
      <c r="D17" s="5"/>
      <c r="E17" s="6"/>
      <c r="F17" s="6"/>
    </row>
    <row r="18" spans="2:6" x14ac:dyDescent="0.3">
      <c r="B18" s="4">
        <v>2015</v>
      </c>
      <c r="C18" s="89">
        <v>5535002</v>
      </c>
      <c r="D18" s="5"/>
      <c r="E18" s="6"/>
      <c r="F18" s="6"/>
    </row>
    <row r="19" spans="2:6" x14ac:dyDescent="0.3">
      <c r="B19" s="4">
        <v>2016</v>
      </c>
      <c r="C19" s="89">
        <v>5607283</v>
      </c>
      <c r="D19" s="5"/>
      <c r="E19" s="6"/>
      <c r="F19" s="6"/>
    </row>
    <row r="20" spans="2:6" x14ac:dyDescent="0.3">
      <c r="B20" s="4">
        <v>2017</v>
      </c>
      <c r="C20" s="89">
        <v>5612253</v>
      </c>
      <c r="D20" s="5"/>
      <c r="E20" s="6"/>
      <c r="F20" s="6"/>
    </row>
    <row r="21" spans="2:6" x14ac:dyDescent="0.3">
      <c r="B21" s="4">
        <v>2018</v>
      </c>
      <c r="C21" s="89">
        <v>5638676</v>
      </c>
      <c r="D21" s="5"/>
      <c r="E21" s="6"/>
      <c r="F21" s="6"/>
    </row>
    <row r="22" spans="2:6" x14ac:dyDescent="0.3">
      <c r="B22" s="4">
        <v>2019</v>
      </c>
      <c r="C22" s="89">
        <v>5703569</v>
      </c>
      <c r="D22" s="5"/>
      <c r="E22" s="6"/>
      <c r="F22" s="6"/>
    </row>
    <row r="23" spans="2:6" x14ac:dyDescent="0.3">
      <c r="B23" s="4">
        <v>2020</v>
      </c>
      <c r="C23" s="89">
        <v>5685807</v>
      </c>
      <c r="D23" s="5"/>
      <c r="E23" s="6"/>
      <c r="F23" s="6"/>
    </row>
    <row r="24" spans="2:6" x14ac:dyDescent="0.3">
      <c r="B24" s="4">
        <v>2021</v>
      </c>
      <c r="C24" s="89">
        <v>5453566</v>
      </c>
      <c r="D24" s="5"/>
      <c r="E24" s="6"/>
      <c r="F24" s="6"/>
    </row>
    <row r="25" spans="2:6" x14ac:dyDescent="0.3">
      <c r="B25" s="4">
        <v>2022</v>
      </c>
      <c r="C25" s="89">
        <v>5637022</v>
      </c>
      <c r="D25" s="5"/>
      <c r="E25" s="6"/>
      <c r="F25" s="6"/>
    </row>
    <row r="26" spans="2:6" x14ac:dyDescent="0.3">
      <c r="B26" s="4">
        <v>2023</v>
      </c>
      <c r="C26" s="89">
        <v>5917648</v>
      </c>
      <c r="D26" s="5"/>
      <c r="E26" s="6"/>
      <c r="F26" s="6"/>
    </row>
    <row r="27" spans="2:6" x14ac:dyDescent="0.3">
      <c r="B27" s="4">
        <v>2024</v>
      </c>
      <c r="C27" s="89">
        <v>6036860</v>
      </c>
      <c r="D27" s="5"/>
      <c r="E27" s="6"/>
      <c r="F27" s="6"/>
    </row>
    <row r="28" spans="2:6" x14ac:dyDescent="0.3">
      <c r="B28" s="4">
        <v>2025</v>
      </c>
      <c r="C28" s="89">
        <v>6111175</v>
      </c>
      <c r="D28" s="5"/>
      <c r="E28" s="6"/>
      <c r="F28" s="6"/>
    </row>
    <row r="29" spans="2:6" x14ac:dyDescent="0.3">
      <c r="B29" s="4">
        <v>2026</v>
      </c>
      <c r="C29" s="5"/>
      <c r="D29" s="87">
        <f>FORECAST(B29,$C$3:$C$28,$B$3:$B$28)</f>
        <v>6260749.7384615541</v>
      </c>
      <c r="E29" s="88">
        <f>D29-_xlfn.FORECAST.ETS.CONFINT(B29,$C$3:$C$28,$B$3:$B$28,0.95,1,1)</f>
        <v>6025618.0802111495</v>
      </c>
      <c r="F29" s="88">
        <f>D29+_xlfn.FORECAST.ETS.CONFINT(B29,$C$3:$C$28,$B$3:$B$28,0.95,1,1)</f>
        <v>6495881.3967119586</v>
      </c>
    </row>
    <row r="30" spans="2:6" x14ac:dyDescent="0.3">
      <c r="B30" s="4">
        <v>2027</v>
      </c>
      <c r="C30" s="5"/>
      <c r="D30" s="87">
        <f t="shared" ref="D30:D63" si="0">FORECAST(B30,$C$3:$C$28,$B$3:$B$28)</f>
        <v>6345344.7675213814</v>
      </c>
      <c r="E30" s="88">
        <f>D30-_xlfn.FORECAST.ETS.CONFINT(B30,$C$3:$C$28,$B$3:$B$28,0.95,1,1)</f>
        <v>6051289.0555486064</v>
      </c>
      <c r="F30" s="88">
        <f t="shared" ref="F30:F63" si="1">D30+_xlfn.FORECAST.ETS.CONFINT(B30,$C$3:$C$28,$B$3:$B$28,0.95,1,1)</f>
        <v>6639400.4794941563</v>
      </c>
    </row>
    <row r="31" spans="2:6" x14ac:dyDescent="0.3">
      <c r="B31" s="4">
        <v>2028</v>
      </c>
      <c r="C31" s="5"/>
      <c r="D31" s="87">
        <f t="shared" si="0"/>
        <v>6429939.7965812087</v>
      </c>
      <c r="E31" s="88">
        <f t="shared" ref="E31:E63" si="2">D31-_xlfn.FORECAST.ETS.CONFINT(B31,$C$3:$C$28,$B$3:$B$28,0.95,1,1)</f>
        <v>6086816.3159189206</v>
      </c>
      <c r="F31" s="88">
        <f t="shared" si="1"/>
        <v>6773063.2772434969</v>
      </c>
    </row>
    <row r="32" spans="2:6" x14ac:dyDescent="0.3">
      <c r="B32" s="4">
        <v>2029</v>
      </c>
      <c r="C32" s="5"/>
      <c r="D32" s="87">
        <f t="shared" si="0"/>
        <v>6514534.825641036</v>
      </c>
      <c r="E32" s="88">
        <f t="shared" si="2"/>
        <v>6128423.5838993033</v>
      </c>
      <c r="F32" s="88">
        <f t="shared" si="1"/>
        <v>6900646.0673827687</v>
      </c>
    </row>
    <row r="33" spans="2:9" x14ac:dyDescent="0.3">
      <c r="B33" s="4">
        <v>2030</v>
      </c>
      <c r="C33" s="5"/>
      <c r="D33" s="87">
        <f t="shared" si="0"/>
        <v>6599129.8547008634</v>
      </c>
      <c r="E33" s="88">
        <f t="shared" si="2"/>
        <v>6174261.1969132759</v>
      </c>
      <c r="F33" s="88">
        <f t="shared" si="1"/>
        <v>7023998.5124884509</v>
      </c>
    </row>
    <row r="34" spans="2:9" x14ac:dyDescent="0.3">
      <c r="B34" s="4">
        <v>2031</v>
      </c>
      <c r="C34" s="5"/>
      <c r="D34" s="87">
        <f t="shared" si="0"/>
        <v>6683724.8837606907</v>
      </c>
      <c r="E34" s="88">
        <f t="shared" si="2"/>
        <v>6223259.586840013</v>
      </c>
      <c r="F34" s="88">
        <f t="shared" si="1"/>
        <v>7144190.1806813683</v>
      </c>
    </row>
    <row r="35" spans="2:9" x14ac:dyDescent="0.3">
      <c r="B35" s="4">
        <v>2032</v>
      </c>
      <c r="C35" s="5"/>
      <c r="D35" s="87">
        <f t="shared" si="0"/>
        <v>6768319.912820518</v>
      </c>
      <c r="E35" s="88">
        <f t="shared" si="2"/>
        <v>6274734.3159204461</v>
      </c>
      <c r="F35" s="88">
        <f t="shared" si="1"/>
        <v>7261905.50972059</v>
      </c>
    </row>
    <row r="36" spans="2:9" x14ac:dyDescent="0.3">
      <c r="B36" s="4">
        <v>2033</v>
      </c>
      <c r="C36" s="5"/>
      <c r="D36" s="87">
        <f t="shared" si="0"/>
        <v>6852914.9418803453</v>
      </c>
      <c r="E36" s="88">
        <f t="shared" si="2"/>
        <v>6328216.1308078626</v>
      </c>
      <c r="F36" s="88">
        <f t="shared" si="1"/>
        <v>7377613.7529528281</v>
      </c>
    </row>
    <row r="37" spans="2:9" x14ac:dyDescent="0.3">
      <c r="B37" s="4">
        <v>2034</v>
      </c>
      <c r="C37" s="5"/>
      <c r="D37" s="87">
        <f t="shared" si="0"/>
        <v>6937509.9709401727</v>
      </c>
      <c r="E37" s="88">
        <f t="shared" si="2"/>
        <v>6383366.7558205863</v>
      </c>
      <c r="F37" s="88">
        <f t="shared" si="1"/>
        <v>7491653.186059759</v>
      </c>
      <c r="H37" s="7" t="s">
        <v>5</v>
      </c>
    </row>
    <row r="38" spans="2:9" x14ac:dyDescent="0.3">
      <c r="B38" s="4">
        <v>2035</v>
      </c>
      <c r="C38" s="5"/>
      <c r="D38" s="87">
        <f t="shared" si="0"/>
        <v>7022105</v>
      </c>
      <c r="E38" s="88">
        <f t="shared" si="2"/>
        <v>6439932.8316446422</v>
      </c>
      <c r="F38" s="88">
        <f t="shared" si="1"/>
        <v>7604277.1683553578</v>
      </c>
      <c r="H38" t="s">
        <v>1</v>
      </c>
      <c r="I38" t="s">
        <v>6</v>
      </c>
    </row>
    <row r="39" spans="2:9" x14ac:dyDescent="0.3">
      <c r="B39" s="4">
        <v>2036</v>
      </c>
      <c r="C39" s="5"/>
      <c r="D39" s="87">
        <f t="shared" si="0"/>
        <v>7106700.0290598273</v>
      </c>
      <c r="E39" s="88">
        <f t="shared" si="2"/>
        <v>6497718.7935950626</v>
      </c>
      <c r="F39" s="88">
        <f t="shared" si="1"/>
        <v>7715681.2645245921</v>
      </c>
      <c r="H39" t="s">
        <v>2</v>
      </c>
      <c r="I39" s="8" t="s">
        <v>7</v>
      </c>
    </row>
    <row r="40" spans="2:9" x14ac:dyDescent="0.3">
      <c r="B40" s="4">
        <v>2037</v>
      </c>
      <c r="C40" s="5"/>
      <c r="D40" s="87">
        <f t="shared" si="0"/>
        <v>7191295.0581196547</v>
      </c>
      <c r="E40" s="88">
        <f t="shared" si="2"/>
        <v>6556569.961673405</v>
      </c>
      <c r="F40" s="88">
        <f t="shared" si="1"/>
        <v>7826020.1545659043</v>
      </c>
      <c r="H40" t="s">
        <v>3</v>
      </c>
      <c r="I40" s="8" t="s">
        <v>8</v>
      </c>
    </row>
    <row r="41" spans="2:9" x14ac:dyDescent="0.3">
      <c r="B41" s="4">
        <v>2038</v>
      </c>
      <c r="C41" s="5"/>
      <c r="D41" s="87">
        <f t="shared" si="0"/>
        <v>7275890.087179482</v>
      </c>
      <c r="E41" s="88">
        <f t="shared" si="2"/>
        <v>6616361.5033312142</v>
      </c>
      <c r="F41" s="88">
        <f t="shared" si="1"/>
        <v>7935418.6710277498</v>
      </c>
      <c r="H41" t="s">
        <v>4</v>
      </c>
      <c r="I41" s="8" t="s">
        <v>9</v>
      </c>
    </row>
    <row r="42" spans="2:9" x14ac:dyDescent="0.3">
      <c r="B42" s="4">
        <v>2039</v>
      </c>
      <c r="C42" s="5"/>
      <c r="D42" s="87">
        <f t="shared" si="0"/>
        <v>7360485.1162393093</v>
      </c>
      <c r="E42" s="88">
        <f t="shared" si="2"/>
        <v>6676990.9536566371</v>
      </c>
      <c r="F42" s="88">
        <f t="shared" si="1"/>
        <v>8043979.2788219815</v>
      </c>
    </row>
    <row r="43" spans="2:9" x14ac:dyDescent="0.3">
      <c r="B43" s="4">
        <v>2040</v>
      </c>
      <c r="C43" s="5"/>
      <c r="D43" s="87">
        <f t="shared" si="0"/>
        <v>7445080.1452991664</v>
      </c>
      <c r="E43" s="88">
        <f t="shared" si="2"/>
        <v>6738372.9847669173</v>
      </c>
      <c r="F43" s="88">
        <f t="shared" si="1"/>
        <v>8151787.3058314156</v>
      </c>
    </row>
    <row r="44" spans="2:9" x14ac:dyDescent="0.3">
      <c r="B44" s="4">
        <v>2041</v>
      </c>
      <c r="C44" s="5"/>
      <c r="D44" s="87">
        <f t="shared" si="0"/>
        <v>7529675.1743589938</v>
      </c>
      <c r="E44" s="88">
        <f t="shared" si="2"/>
        <v>6800435.6493224036</v>
      </c>
      <c r="F44" s="88">
        <f t="shared" si="1"/>
        <v>8258914.6993955839</v>
      </c>
    </row>
    <row r="45" spans="2:9" x14ac:dyDescent="0.3">
      <c r="B45" s="4">
        <v>2042</v>
      </c>
      <c r="C45" s="5"/>
      <c r="D45" s="87">
        <f t="shared" si="0"/>
        <v>7614270.2034188211</v>
      </c>
      <c r="E45" s="88">
        <f t="shared" si="2"/>
        <v>6863117.620222508</v>
      </c>
      <c r="F45" s="88">
        <f t="shared" si="1"/>
        <v>8365422.7866151342</v>
      </c>
    </row>
    <row r="46" spans="2:9" x14ac:dyDescent="0.3">
      <c r="B46" s="4">
        <v>2043</v>
      </c>
      <c r="C46" s="5"/>
      <c r="D46" s="87">
        <f t="shared" si="0"/>
        <v>7698865.2324786484</v>
      </c>
      <c r="E46" s="88">
        <f t="shared" si="2"/>
        <v>6926366.1215263726</v>
      </c>
      <c r="F46" s="88">
        <f t="shared" si="1"/>
        <v>8471364.3434309233</v>
      </c>
    </row>
    <row r="47" spans="2:9" x14ac:dyDescent="0.3">
      <c r="B47" s="4">
        <v>2044</v>
      </c>
      <c r="C47" s="5"/>
      <c r="D47" s="87">
        <f t="shared" si="0"/>
        <v>7783460.2615384758</v>
      </c>
      <c r="E47" s="88">
        <f t="shared" si="2"/>
        <v>6990135.3501761323</v>
      </c>
      <c r="F47" s="88">
        <f t="shared" si="1"/>
        <v>8576785.1729008183</v>
      </c>
    </row>
    <row r="48" spans="2:9" x14ac:dyDescent="0.3">
      <c r="B48" s="4">
        <v>2045</v>
      </c>
      <c r="C48" s="5"/>
      <c r="D48" s="87">
        <f t="shared" si="0"/>
        <v>7868055.2905983031</v>
      </c>
      <c r="E48" s="88">
        <f t="shared" si="2"/>
        <v>7054385.2533508148</v>
      </c>
      <c r="F48" s="88">
        <f t="shared" si="1"/>
        <v>8681725.3278457914</v>
      </c>
    </row>
    <row r="49" spans="2:6" x14ac:dyDescent="0.3">
      <c r="B49" s="4">
        <v>2046</v>
      </c>
      <c r="C49" s="5"/>
      <c r="D49" s="87">
        <f t="shared" si="0"/>
        <v>7952650.3196581304</v>
      </c>
      <c r="E49" s="88">
        <f t="shared" si="2"/>
        <v>7119080.5681828093</v>
      </c>
      <c r="F49" s="88">
        <f t="shared" si="1"/>
        <v>8786220.0711334515</v>
      </c>
    </row>
    <row r="50" spans="2:6" x14ac:dyDescent="0.3">
      <c r="B50" s="4">
        <v>2047</v>
      </c>
      <c r="C50" s="5"/>
      <c r="D50" s="87">
        <f t="shared" si="0"/>
        <v>8037245.3487179577</v>
      </c>
      <c r="E50" s="88">
        <f t="shared" si="2"/>
        <v>7184190.0581636112</v>
      </c>
      <c r="F50" s="88">
        <f t="shared" si="1"/>
        <v>8890300.6392723043</v>
      </c>
    </row>
    <row r="51" spans="2:6" x14ac:dyDescent="0.3">
      <c r="B51" s="4">
        <v>2048</v>
      </c>
      <c r="C51" s="5"/>
      <c r="D51" s="87">
        <f t="shared" si="0"/>
        <v>8121840.3777777851</v>
      </c>
      <c r="E51" s="88">
        <f t="shared" si="2"/>
        <v>7249685.899148846</v>
      </c>
      <c r="F51" s="88">
        <f t="shared" si="1"/>
        <v>8993994.8564067241</v>
      </c>
    </row>
    <row r="52" spans="2:6" x14ac:dyDescent="0.3">
      <c r="B52" s="4">
        <v>2049</v>
      </c>
      <c r="C52" s="5"/>
      <c r="D52" s="87">
        <f t="shared" si="0"/>
        <v>8206435.4068376124</v>
      </c>
      <c r="E52" s="88">
        <f t="shared" si="2"/>
        <v>7315543.1806409229</v>
      </c>
      <c r="F52" s="88">
        <f t="shared" si="1"/>
        <v>9097327.6330343019</v>
      </c>
    </row>
    <row r="53" spans="2:6" x14ac:dyDescent="0.3">
      <c r="B53" s="4">
        <v>2050</v>
      </c>
      <c r="C53" s="5"/>
      <c r="D53" s="87">
        <f t="shared" si="0"/>
        <v>8291030.4358974397</v>
      </c>
      <c r="E53" s="88">
        <f t="shared" si="2"/>
        <v>7381739.4969609063</v>
      </c>
      <c r="F53" s="88">
        <f t="shared" si="1"/>
        <v>9200321.3748339731</v>
      </c>
    </row>
    <row r="54" spans="2:6" x14ac:dyDescent="0.3">
      <c r="B54" s="4">
        <v>2051</v>
      </c>
      <c r="C54" s="5"/>
      <c r="D54" s="87">
        <f t="shared" si="0"/>
        <v>8375625.464957267</v>
      </c>
      <c r="E54" s="88">
        <f t="shared" si="2"/>
        <v>7448254.6092746668</v>
      </c>
      <c r="F54" s="88">
        <f t="shared" si="1"/>
        <v>9302996.3206398673</v>
      </c>
    </row>
    <row r="55" spans="2:6" x14ac:dyDescent="0.3">
      <c r="B55" s="4">
        <v>2052</v>
      </c>
      <c r="C55" s="5"/>
      <c r="D55" s="87">
        <f t="shared" si="0"/>
        <v>8460220.4940170944</v>
      </c>
      <c r="E55" s="88">
        <f t="shared" si="2"/>
        <v>7515070.1640252592</v>
      </c>
      <c r="F55" s="88">
        <f t="shared" si="1"/>
        <v>9405370.8240089286</v>
      </c>
    </row>
    <row r="56" spans="2:6" x14ac:dyDescent="0.3">
      <c r="B56" s="4">
        <v>2053</v>
      </c>
      <c r="C56" s="5"/>
      <c r="D56" s="87">
        <f t="shared" si="0"/>
        <v>8544815.5230769217</v>
      </c>
      <c r="E56" s="88">
        <f t="shared" si="2"/>
        <v>7582169.4566805214</v>
      </c>
      <c r="F56" s="88">
        <f t="shared" si="1"/>
        <v>9507461.589473322</v>
      </c>
    </row>
    <row r="57" spans="2:6" x14ac:dyDescent="0.3">
      <c r="B57" s="4">
        <v>2054</v>
      </c>
      <c r="C57" s="5"/>
      <c r="D57" s="87">
        <f t="shared" si="0"/>
        <v>8629410.552136749</v>
      </c>
      <c r="E57" s="88">
        <f t="shared" si="2"/>
        <v>7649537.2321929727</v>
      </c>
      <c r="F57" s="88">
        <f t="shared" si="1"/>
        <v>9609283.8720805254</v>
      </c>
    </row>
    <row r="58" spans="2:6" x14ac:dyDescent="0.3">
      <c r="B58" s="4">
        <v>2055</v>
      </c>
      <c r="C58" s="5"/>
      <c r="D58" s="87">
        <f t="shared" si="0"/>
        <v>8714005.5811965764</v>
      </c>
      <c r="E58" s="88">
        <f t="shared" si="2"/>
        <v>7717159.5154346693</v>
      </c>
      <c r="F58" s="88">
        <f t="shared" si="1"/>
        <v>9710851.6469584834</v>
      </c>
    </row>
    <row r="59" spans="2:6" x14ac:dyDescent="0.3">
      <c r="B59" s="4">
        <v>2056</v>
      </c>
      <c r="C59" s="5"/>
      <c r="D59" s="87">
        <f t="shared" si="0"/>
        <v>8798600.6102564037</v>
      </c>
      <c r="E59" s="88">
        <f t="shared" si="2"/>
        <v>7785023.4662834741</v>
      </c>
      <c r="F59" s="88">
        <f t="shared" si="1"/>
        <v>9812177.7542293333</v>
      </c>
    </row>
    <row r="60" spans="2:6" x14ac:dyDescent="0.3">
      <c r="B60" s="4">
        <v>2057</v>
      </c>
      <c r="C60" s="5"/>
      <c r="D60" s="87">
        <f t="shared" si="0"/>
        <v>8883195.6393162608</v>
      </c>
      <c r="E60" s="88">
        <f t="shared" si="2"/>
        <v>7853117.255119497</v>
      </c>
      <c r="F60" s="88">
        <f t="shared" si="1"/>
        <v>9913274.0235130247</v>
      </c>
    </row>
    <row r="61" spans="2:6" x14ac:dyDescent="0.3">
      <c r="B61" s="4">
        <v>2058</v>
      </c>
      <c r="C61" s="5"/>
      <c r="D61" s="87">
        <f t="shared" si="0"/>
        <v>8967790.6683760881</v>
      </c>
      <c r="E61" s="88">
        <f t="shared" si="2"/>
        <v>7921429.9553262955</v>
      </c>
      <c r="F61" s="88">
        <f t="shared" si="1"/>
        <v>10014151.381425882</v>
      </c>
    </row>
    <row r="62" spans="2:6" x14ac:dyDescent="0.3">
      <c r="B62" s="4">
        <v>2059</v>
      </c>
      <c r="C62" s="5"/>
      <c r="D62" s="87">
        <f t="shared" si="0"/>
        <v>9052385.6974359155</v>
      </c>
      <c r="E62" s="88">
        <f t="shared" si="2"/>
        <v>7989951.4500435982</v>
      </c>
      <c r="F62" s="88">
        <f t="shared" si="1"/>
        <v>10114819.944828233</v>
      </c>
    </row>
    <row r="63" spans="2:6" x14ac:dyDescent="0.3">
      <c r="B63" s="4">
        <v>2060</v>
      </c>
      <c r="C63" s="5"/>
      <c r="D63" s="87">
        <f t="shared" si="0"/>
        <v>9136980.7264957428</v>
      </c>
      <c r="E63" s="88">
        <f t="shared" si="2"/>
        <v>8058672.3509290703</v>
      </c>
      <c r="F63" s="88">
        <f t="shared" si="1"/>
        <v>10215289.102062415</v>
      </c>
    </row>
    <row r="64" spans="2:6" x14ac:dyDescent="0.3">
      <c r="C64" s="3"/>
      <c r="D64" s="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7"/>
  <sheetViews>
    <sheetView showGridLines="0" zoomScale="70" zoomScaleNormal="70" workbookViewId="0">
      <selection activeCell="X13" sqref="X13"/>
    </sheetView>
  </sheetViews>
  <sheetFormatPr defaultRowHeight="14.4" x14ac:dyDescent="0.3"/>
  <cols>
    <col min="1" max="1" width="6" customWidth="1"/>
    <col min="2" max="2" width="8.6640625" style="1"/>
    <col min="3" max="3" width="22.109375" style="1" bestFit="1" customWidth="1"/>
    <col min="4" max="4" width="28.5546875" style="1" bestFit="1" customWidth="1"/>
    <col min="5" max="5" width="19.109375" style="1" bestFit="1" customWidth="1"/>
    <col min="6" max="6" width="19.5546875" style="1" bestFit="1" customWidth="1"/>
    <col min="7" max="7" width="13.44140625" customWidth="1"/>
    <col min="8" max="8" width="23.44140625" customWidth="1"/>
  </cols>
  <sheetData>
    <row r="1" spans="2:11" x14ac:dyDescent="0.3">
      <c r="K1" s="9"/>
    </row>
    <row r="2" spans="2:11" ht="39" customHeight="1" x14ac:dyDescent="0.3">
      <c r="B2" s="13" t="s">
        <v>0</v>
      </c>
      <c r="C2" s="16" t="s">
        <v>10</v>
      </c>
      <c r="D2" s="11" t="s">
        <v>11</v>
      </c>
      <c r="E2" s="13" t="s">
        <v>12</v>
      </c>
      <c r="F2" s="13" t="s">
        <v>13</v>
      </c>
      <c r="K2" s="9"/>
    </row>
    <row r="3" spans="2:11" x14ac:dyDescent="0.3">
      <c r="B3" s="14">
        <v>2013</v>
      </c>
      <c r="C3" s="90">
        <v>151</v>
      </c>
      <c r="D3" s="91"/>
      <c r="E3" s="91"/>
      <c r="F3" s="91"/>
    </row>
    <row r="4" spans="2:11" x14ac:dyDescent="0.3">
      <c r="B4" s="14">
        <v>2014</v>
      </c>
      <c r="C4" s="90">
        <v>149</v>
      </c>
      <c r="D4" s="91"/>
      <c r="E4" s="91"/>
      <c r="F4" s="91"/>
    </row>
    <row r="5" spans="2:11" x14ac:dyDescent="0.3">
      <c r="B5" s="14">
        <v>2015</v>
      </c>
      <c r="C5" s="90">
        <v>149</v>
      </c>
      <c r="D5" s="91"/>
      <c r="E5" s="91"/>
      <c r="F5" s="91"/>
    </row>
    <row r="6" spans="2:11" x14ac:dyDescent="0.3">
      <c r="B6" s="14">
        <v>2016</v>
      </c>
      <c r="C6" s="90">
        <v>148</v>
      </c>
      <c r="D6" s="91"/>
      <c r="E6" s="91"/>
      <c r="F6" s="91"/>
    </row>
    <row r="7" spans="2:11" x14ac:dyDescent="0.3">
      <c r="B7" s="14">
        <v>2017</v>
      </c>
      <c r="C7" s="90">
        <v>143</v>
      </c>
      <c r="D7" s="91"/>
      <c r="E7" s="91"/>
      <c r="F7" s="91"/>
    </row>
    <row r="8" spans="2:11" x14ac:dyDescent="0.3">
      <c r="B8" s="14">
        <v>2018</v>
      </c>
      <c r="C8" s="90">
        <v>141</v>
      </c>
      <c r="D8" s="91"/>
      <c r="E8" s="91"/>
      <c r="F8" s="91"/>
    </row>
    <row r="9" spans="2:11" x14ac:dyDescent="0.3">
      <c r="B9" s="14">
        <v>2019</v>
      </c>
      <c r="C9" s="90">
        <v>141</v>
      </c>
      <c r="D9" s="91"/>
      <c r="E9" s="91"/>
      <c r="F9" s="91"/>
    </row>
    <row r="10" spans="2:11" x14ac:dyDescent="0.3">
      <c r="B10" s="14">
        <v>2020</v>
      </c>
      <c r="C10" s="90">
        <v>154</v>
      </c>
      <c r="D10" s="91"/>
      <c r="E10" s="91"/>
      <c r="F10" s="91"/>
    </row>
    <row r="11" spans="2:11" x14ac:dyDescent="0.3">
      <c r="B11" s="14">
        <v>2021</v>
      </c>
      <c r="C11" s="90">
        <v>158</v>
      </c>
      <c r="D11" s="91"/>
      <c r="E11" s="91"/>
      <c r="F11" s="91"/>
    </row>
    <row r="12" spans="2:11" x14ac:dyDescent="0.3">
      <c r="B12" s="14">
        <v>2022</v>
      </c>
      <c r="C12" s="90">
        <v>149</v>
      </c>
      <c r="D12" s="91"/>
      <c r="E12" s="91"/>
      <c r="F12" s="91"/>
    </row>
    <row r="13" spans="2:11" x14ac:dyDescent="0.3">
      <c r="B13" s="14">
        <v>2026</v>
      </c>
      <c r="C13" s="91"/>
      <c r="D13" s="92">
        <f t="shared" ref="D13:D47" si="0">FORECAST(B13,$C$3:$C$12,$B$3:$B$12)</f>
        <v>150.7212121212122</v>
      </c>
      <c r="E13" s="92">
        <f>D13-_xlfn.FORECAST.ETS.CONFINT(B13,$C$3:$C$12,$B$3:$B$12,0.95,1,1)</f>
        <v>130.55999213915999</v>
      </c>
      <c r="F13" s="92">
        <f>D13+_xlfn.FORECAST.ETS.CONFINT(B13,$C$3:$C$12,$B$3:$B$12,0.95,1,1)</f>
        <v>170.88243210326442</v>
      </c>
    </row>
    <row r="14" spans="2:11" x14ac:dyDescent="0.3">
      <c r="B14" s="14">
        <v>2027</v>
      </c>
      <c r="C14" s="91"/>
      <c r="D14" s="92">
        <f t="shared" si="0"/>
        <v>151.00606060606066</v>
      </c>
      <c r="E14" s="92">
        <f t="shared" ref="E14:E47" si="1">D14-_xlfn.FORECAST.ETS.CONFINT(B14,$C$3:$C$12,$B$3:$B$12,0.95,1,1)</f>
        <v>128.57805951948555</v>
      </c>
      <c r="F14" s="92">
        <f t="shared" ref="F14:F47" si="2">D14+_xlfn.FORECAST.ETS.CONFINT(B14,$C$3:$C$12,$B$3:$B$12,0.95,1,1)</f>
        <v>173.43406169263577</v>
      </c>
    </row>
    <row r="15" spans="2:11" x14ac:dyDescent="0.3">
      <c r="B15" s="14">
        <v>2028</v>
      </c>
      <c r="C15" s="91"/>
      <c r="D15" s="92">
        <f t="shared" si="0"/>
        <v>151.29090909090911</v>
      </c>
      <c r="E15" s="92">
        <f t="shared" si="1"/>
        <v>126.80071967769342</v>
      </c>
      <c r="F15" s="92">
        <f t="shared" si="2"/>
        <v>175.7810985041248</v>
      </c>
    </row>
    <row r="16" spans="2:11" x14ac:dyDescent="0.3">
      <c r="B16" s="14">
        <v>2029</v>
      </c>
      <c r="C16" s="91"/>
      <c r="D16" s="92">
        <f t="shared" si="0"/>
        <v>151.57575757575768</v>
      </c>
      <c r="E16" s="92">
        <f t="shared" si="1"/>
        <v>125.17997265280741</v>
      </c>
      <c r="F16" s="92">
        <f t="shared" si="2"/>
        <v>177.97154249870795</v>
      </c>
    </row>
    <row r="17" spans="2:6" x14ac:dyDescent="0.3">
      <c r="B17" s="14">
        <v>2030</v>
      </c>
      <c r="C17" s="91"/>
      <c r="D17" s="92">
        <f t="shared" si="0"/>
        <v>151.86060606060613</v>
      </c>
      <c r="E17" s="92">
        <f t="shared" si="1"/>
        <v>123.68402497601636</v>
      </c>
      <c r="F17" s="92">
        <f t="shared" si="2"/>
        <v>180.0371871451959</v>
      </c>
    </row>
    <row r="18" spans="2:6" x14ac:dyDescent="0.3">
      <c r="B18" s="14">
        <v>2031</v>
      </c>
      <c r="C18" s="91"/>
      <c r="D18" s="92">
        <f t="shared" si="0"/>
        <v>152.14545454545458</v>
      </c>
      <c r="E18" s="92">
        <f t="shared" si="1"/>
        <v>122.29053211187141</v>
      </c>
      <c r="F18" s="92">
        <f t="shared" si="2"/>
        <v>182.00037697903775</v>
      </c>
    </row>
    <row r="19" spans="2:6" x14ac:dyDescent="0.3">
      <c r="B19" s="14">
        <v>2032</v>
      </c>
      <c r="C19" s="91"/>
      <c r="D19" s="92">
        <f t="shared" si="0"/>
        <v>152.43030303030315</v>
      </c>
      <c r="E19" s="92">
        <f t="shared" si="1"/>
        <v>120.98308195018687</v>
      </c>
      <c r="F19" s="92">
        <f t="shared" si="2"/>
        <v>183.87752411041942</v>
      </c>
    </row>
    <row r="20" spans="2:6" x14ac:dyDescent="0.3">
      <c r="B20" s="14">
        <v>2033</v>
      </c>
      <c r="C20" s="91"/>
      <c r="D20" s="92">
        <f t="shared" si="0"/>
        <v>152.7151515151516</v>
      </c>
      <c r="E20" s="92">
        <f t="shared" si="1"/>
        <v>119.74920062150323</v>
      </c>
      <c r="F20" s="92">
        <f t="shared" si="2"/>
        <v>185.68110240879997</v>
      </c>
    </row>
    <row r="21" spans="2:6" x14ac:dyDescent="0.3">
      <c r="B21" s="14">
        <v>2034</v>
      </c>
      <c r="C21" s="91"/>
      <c r="D21" s="92">
        <f t="shared" si="0"/>
        <v>153.00000000000006</v>
      </c>
      <c r="E21" s="92">
        <f t="shared" si="1"/>
        <v>118.57914522031614</v>
      </c>
      <c r="F21" s="92">
        <f t="shared" si="2"/>
        <v>187.42085477968396</v>
      </c>
    </row>
    <row r="22" spans="2:6" x14ac:dyDescent="0.3">
      <c r="B22" s="14">
        <v>2035</v>
      </c>
      <c r="C22" s="91"/>
      <c r="D22" s="92">
        <f t="shared" si="0"/>
        <v>153.28484848484851</v>
      </c>
      <c r="E22" s="92">
        <f t="shared" si="1"/>
        <v>117.46513427251401</v>
      </c>
      <c r="F22" s="92">
        <f t="shared" si="2"/>
        <v>189.10456269718301</v>
      </c>
    </row>
    <row r="23" spans="2:6" x14ac:dyDescent="0.3">
      <c r="B23" s="14">
        <v>2036</v>
      </c>
      <c r="C23" s="91"/>
      <c r="D23" s="92">
        <f t="shared" si="0"/>
        <v>153.56969696969708</v>
      </c>
      <c r="E23" s="92">
        <f t="shared" si="1"/>
        <v>116.4008363191906</v>
      </c>
      <c r="F23" s="92">
        <f t="shared" si="2"/>
        <v>190.73855762020355</v>
      </c>
    </row>
    <row r="24" spans="2:6" x14ac:dyDescent="0.3">
      <c r="B24" s="14">
        <v>2037</v>
      </c>
      <c r="C24" s="91"/>
      <c r="D24" s="92">
        <f t="shared" si="0"/>
        <v>153.85454545454553</v>
      </c>
      <c r="E24" s="92">
        <f t="shared" si="1"/>
        <v>115.38101809557982</v>
      </c>
      <c r="F24" s="92">
        <f t="shared" si="2"/>
        <v>192.32807281351126</v>
      </c>
    </row>
    <row r="25" spans="2:6" x14ac:dyDescent="0.3">
      <c r="B25" s="14">
        <v>2038</v>
      </c>
      <c r="C25" s="91"/>
      <c r="D25" s="92">
        <f t="shared" si="0"/>
        <v>154.13939393939398</v>
      </c>
      <c r="E25" s="92">
        <f t="shared" si="1"/>
        <v>114.40129536041175</v>
      </c>
      <c r="F25" s="92">
        <f t="shared" si="2"/>
        <v>193.87749251837622</v>
      </c>
    </row>
    <row r="26" spans="2:6" x14ac:dyDescent="0.3">
      <c r="B26" s="14">
        <v>2039</v>
      </c>
      <c r="C26" s="91"/>
      <c r="D26" s="92">
        <f t="shared" si="0"/>
        <v>154.42424242424244</v>
      </c>
      <c r="E26" s="92">
        <f t="shared" si="1"/>
        <v>113.45795198907007</v>
      </c>
      <c r="F26" s="92">
        <f t="shared" si="2"/>
        <v>195.3905328594148</v>
      </c>
    </row>
    <row r="27" spans="2:6" x14ac:dyDescent="0.3">
      <c r="B27" s="14">
        <v>2040</v>
      </c>
      <c r="C27" s="91"/>
      <c r="D27" s="92">
        <f t="shared" si="0"/>
        <v>154.709090909091</v>
      </c>
      <c r="E27" s="92">
        <f t="shared" si="1"/>
        <v>112.54780577989123</v>
      </c>
      <c r="F27" s="92">
        <f t="shared" si="2"/>
        <v>196.87037603829077</v>
      </c>
    </row>
    <row r="28" spans="2:6" x14ac:dyDescent="0.3">
      <c r="B28" s="14">
        <v>2041</v>
      </c>
      <c r="C28" s="91"/>
      <c r="D28" s="92">
        <f t="shared" si="0"/>
        <v>154.99393939393946</v>
      </c>
      <c r="E28" s="92">
        <f t="shared" si="1"/>
        <v>111.66810702894134</v>
      </c>
      <c r="F28" s="92">
        <f t="shared" si="2"/>
        <v>198.31977175893758</v>
      </c>
    </row>
    <row r="29" spans="2:6" x14ac:dyDescent="0.3">
      <c r="B29" s="14">
        <v>2042</v>
      </c>
      <c r="C29" s="91"/>
      <c r="D29" s="92">
        <f t="shared" si="0"/>
        <v>155.27878787878791</v>
      </c>
      <c r="E29" s="92">
        <f t="shared" si="1"/>
        <v>110.81646059592687</v>
      </c>
      <c r="F29" s="92">
        <f t="shared" si="2"/>
        <v>199.74111516164896</v>
      </c>
    </row>
    <row r="30" spans="2:6" x14ac:dyDescent="0.3">
      <c r="B30" s="14">
        <v>2043</v>
      </c>
      <c r="C30" s="91"/>
      <c r="D30" s="92">
        <f t="shared" si="0"/>
        <v>155.56363636363648</v>
      </c>
      <c r="E30" s="92">
        <f t="shared" si="1"/>
        <v>109.99076513658605</v>
      </c>
      <c r="F30" s="92">
        <f t="shared" si="2"/>
        <v>201.1365075906869</v>
      </c>
    </row>
    <row r="31" spans="2:6" x14ac:dyDescent="0.3">
      <c r="B31" s="14">
        <v>2044</v>
      </c>
      <c r="C31" s="91"/>
      <c r="D31" s="92">
        <f t="shared" si="0"/>
        <v>155.84848484848493</v>
      </c>
      <c r="E31" s="92">
        <f t="shared" si="1"/>
        <v>109.18916509568766</v>
      </c>
      <c r="F31" s="92">
        <f t="shared" si="2"/>
        <v>202.5078046012822</v>
      </c>
    </row>
    <row r="32" spans="2:6" x14ac:dyDescent="0.3">
      <c r="B32" s="14">
        <v>2045</v>
      </c>
      <c r="C32" s="91"/>
      <c r="D32" s="92">
        <f t="shared" si="0"/>
        <v>156.13333333333338</v>
      </c>
      <c r="E32" s="92">
        <f t="shared" si="1"/>
        <v>108.41001233170707</v>
      </c>
      <c r="F32" s="92">
        <f t="shared" si="2"/>
        <v>203.8566543349597</v>
      </c>
    </row>
    <row r="33" spans="2:9" x14ac:dyDescent="0.3">
      <c r="B33" s="14">
        <v>2046</v>
      </c>
      <c r="C33" s="91"/>
      <c r="D33" s="92">
        <f t="shared" si="0"/>
        <v>156.41818181818184</v>
      </c>
      <c r="E33" s="92">
        <f t="shared" si="1"/>
        <v>107.6518351123291</v>
      </c>
      <c r="F33" s="92">
        <f t="shared" si="2"/>
        <v>205.18452852403459</v>
      </c>
    </row>
    <row r="34" spans="2:9" x14ac:dyDescent="0.3">
      <c r="B34" s="14">
        <v>2047</v>
      </c>
      <c r="C34" s="91"/>
      <c r="D34" s="92">
        <f t="shared" si="0"/>
        <v>156.7030303030304</v>
      </c>
      <c r="E34" s="92">
        <f t="shared" si="1"/>
        <v>106.91331282146676</v>
      </c>
      <c r="F34" s="92">
        <f t="shared" si="2"/>
        <v>206.49274778459403</v>
      </c>
    </row>
    <row r="35" spans="2:9" x14ac:dyDescent="0.3">
      <c r="B35" s="14">
        <v>2048</v>
      </c>
      <c r="C35" s="91"/>
      <c r="D35" s="92">
        <f t="shared" si="0"/>
        <v>156.98787878787886</v>
      </c>
      <c r="E35" s="92">
        <f t="shared" si="1"/>
        <v>106.19325514259151</v>
      </c>
      <c r="F35" s="92">
        <f t="shared" si="2"/>
        <v>207.7825024331662</v>
      </c>
    </row>
    <row r="36" spans="2:9" x14ac:dyDescent="0.3">
      <c r="B36" s="14">
        <v>2049</v>
      </c>
      <c r="C36" s="91"/>
      <c r="D36" s="92">
        <f t="shared" si="0"/>
        <v>157.27272727272731</v>
      </c>
      <c r="E36" s="92">
        <f t="shared" si="1"/>
        <v>105.49058478692959</v>
      </c>
      <c r="F36" s="92">
        <f t="shared" si="2"/>
        <v>209.05486975852503</v>
      </c>
    </row>
    <row r="37" spans="2:9" x14ac:dyDescent="0.3">
      <c r="B37" s="14">
        <v>2050</v>
      </c>
      <c r="C37" s="91"/>
      <c r="D37" s="92">
        <f t="shared" si="0"/>
        <v>157.55757575757588</v>
      </c>
      <c r="E37" s="92">
        <f t="shared" si="1"/>
        <v>104.80432305577756</v>
      </c>
      <c r="F37" s="92">
        <f t="shared" si="2"/>
        <v>210.31082845937419</v>
      </c>
    </row>
    <row r="38" spans="2:9" x14ac:dyDescent="0.3">
      <c r="B38" s="14">
        <v>2051</v>
      </c>
      <c r="C38" s="91"/>
      <c r="D38" s="92">
        <f t="shared" si="0"/>
        <v>157.84242424242433</v>
      </c>
      <c r="E38" s="92">
        <f t="shared" si="1"/>
        <v>104.1335776886765</v>
      </c>
      <c r="F38" s="92">
        <f t="shared" si="2"/>
        <v>211.55127079617216</v>
      </c>
    </row>
    <row r="39" spans="2:9" x14ac:dyDescent="0.3">
      <c r="B39" s="14">
        <v>2052</v>
      </c>
      <c r="C39" s="91"/>
      <c r="D39" s="92">
        <f t="shared" si="0"/>
        <v>158.12727272727278</v>
      </c>
      <c r="E39" s="92">
        <f t="shared" si="1"/>
        <v>103.47753257026176</v>
      </c>
      <c r="F39" s="92">
        <f t="shared" si="2"/>
        <v>212.77701288428381</v>
      </c>
    </row>
    <row r="40" spans="2:9" x14ac:dyDescent="0.3">
      <c r="B40" s="14">
        <v>2053</v>
      </c>
      <c r="C40" s="91"/>
      <c r="D40" s="92">
        <f t="shared" si="0"/>
        <v>158.41212121212124</v>
      </c>
      <c r="E40" s="92">
        <f t="shared" si="1"/>
        <v>102.83543895984197</v>
      </c>
      <c r="F40" s="92">
        <f t="shared" si="2"/>
        <v>213.98880346440052</v>
      </c>
    </row>
    <row r="41" spans="2:9" x14ac:dyDescent="0.3">
      <c r="B41" s="14">
        <v>2054</v>
      </c>
      <c r="C41" s="91"/>
      <c r="D41" s="92">
        <f t="shared" si="0"/>
        <v>158.6969696969698</v>
      </c>
      <c r="E41" s="92">
        <f t="shared" si="1"/>
        <v>102.20660797723352</v>
      </c>
      <c r="F41" s="92">
        <f t="shared" si="2"/>
        <v>215.18733141670609</v>
      </c>
    </row>
    <row r="42" spans="2:9" x14ac:dyDescent="0.3">
      <c r="B42" s="14">
        <v>2055</v>
      </c>
      <c r="C42" s="91"/>
      <c r="D42" s="92">
        <f t="shared" si="0"/>
        <v>158.98181818181826</v>
      </c>
      <c r="E42" s="92">
        <f t="shared" si="1"/>
        <v>101.59040413177966</v>
      </c>
      <c r="F42" s="92">
        <f t="shared" si="2"/>
        <v>216.37323223185683</v>
      </c>
      <c r="H42" s="7" t="s">
        <v>5</v>
      </c>
    </row>
    <row r="43" spans="2:9" x14ac:dyDescent="0.3">
      <c r="B43" s="14">
        <v>2056</v>
      </c>
      <c r="C43" s="91"/>
      <c r="D43" s="92">
        <f t="shared" si="0"/>
        <v>159.26666666666671</v>
      </c>
      <c r="E43" s="92">
        <f t="shared" si="1"/>
        <v>100.98623972291119</v>
      </c>
      <c r="F43" s="92">
        <f t="shared" si="2"/>
        <v>217.54709361042222</v>
      </c>
      <c r="H43" s="18" t="s">
        <v>1</v>
      </c>
      <c r="I43" t="s">
        <v>6</v>
      </c>
    </row>
    <row r="44" spans="2:9" x14ac:dyDescent="0.3">
      <c r="B44" s="14">
        <v>2057</v>
      </c>
      <c r="C44" s="91"/>
      <c r="D44" s="92">
        <f t="shared" si="0"/>
        <v>159.55151515151528</v>
      </c>
      <c r="E44" s="92">
        <f t="shared" si="1"/>
        <v>100.39356997300472</v>
      </c>
      <c r="F44" s="92">
        <f t="shared" si="2"/>
        <v>218.70946033002582</v>
      </c>
      <c r="H44" s="18" t="s">
        <v>2</v>
      </c>
      <c r="I44" s="8" t="s">
        <v>14</v>
      </c>
    </row>
    <row r="45" spans="2:9" x14ac:dyDescent="0.3">
      <c r="B45" s="14">
        <v>2058</v>
      </c>
      <c r="C45" s="91"/>
      <c r="D45" s="92">
        <f t="shared" si="0"/>
        <v>159.83636363636373</v>
      </c>
      <c r="E45" s="92">
        <f t="shared" si="1"/>
        <v>99.81188877884145</v>
      </c>
      <c r="F45" s="92">
        <f t="shared" si="2"/>
        <v>219.86083849388601</v>
      </c>
      <c r="H45" s="18" t="s">
        <v>3</v>
      </c>
      <c r="I45" s="8" t="s">
        <v>15</v>
      </c>
    </row>
    <row r="46" spans="2:9" x14ac:dyDescent="0.3">
      <c r="B46" s="14">
        <v>2059</v>
      </c>
      <c r="C46" s="91"/>
      <c r="D46" s="92">
        <f t="shared" si="0"/>
        <v>160.12121212121218</v>
      </c>
      <c r="E46" s="92">
        <f t="shared" si="1"/>
        <v>99.240724988255877</v>
      </c>
      <c r="F46" s="92">
        <f t="shared" si="2"/>
        <v>221.0016992541685</v>
      </c>
      <c r="H46" s="18" t="s">
        <v>4</v>
      </c>
      <c r="I46" s="8" t="s">
        <v>16</v>
      </c>
    </row>
    <row r="47" spans="2:9" x14ac:dyDescent="0.3">
      <c r="B47" s="14">
        <v>2060</v>
      </c>
      <c r="C47" s="91"/>
      <c r="D47" s="92">
        <f t="shared" si="0"/>
        <v>160.40606060606063</v>
      </c>
      <c r="E47" s="92">
        <f t="shared" si="1"/>
        <v>98.679639124781545</v>
      </c>
      <c r="F47" s="92">
        <f t="shared" si="2"/>
        <v>222.13248208733972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47"/>
  <sheetViews>
    <sheetView showGridLines="0" zoomScale="85" zoomScaleNormal="85" workbookViewId="0">
      <selection activeCell="E1" sqref="E1:E1048576"/>
    </sheetView>
  </sheetViews>
  <sheetFormatPr defaultRowHeight="14.4" x14ac:dyDescent="0.3"/>
  <cols>
    <col min="2" max="2" width="16.5546875" customWidth="1"/>
    <col min="3" max="3" width="15.5546875" customWidth="1"/>
    <col min="4" max="4" width="16.5546875" customWidth="1"/>
    <col min="5" max="5" width="11.5546875" style="100" customWidth="1"/>
    <col min="6" max="7" width="17.5546875" customWidth="1"/>
    <col min="8" max="8" width="17.5546875" bestFit="1" customWidth="1"/>
    <col min="10" max="10" width="30.88671875" bestFit="1" customWidth="1"/>
    <col min="13" max="13" width="18" customWidth="1"/>
    <col min="14" max="14" width="10.33203125" bestFit="1" customWidth="1"/>
  </cols>
  <sheetData>
    <row r="1" spans="2:13" x14ac:dyDescent="0.3">
      <c r="M1" s="9"/>
    </row>
    <row r="2" spans="2:13" s="12" customFormat="1" ht="28.8" x14ac:dyDescent="0.3">
      <c r="B2" s="11" t="s">
        <v>0</v>
      </c>
      <c r="C2" s="11" t="s">
        <v>17</v>
      </c>
      <c r="D2" s="11" t="s">
        <v>18</v>
      </c>
      <c r="E2" s="101" t="s">
        <v>19</v>
      </c>
      <c r="F2" s="11" t="s">
        <v>20</v>
      </c>
      <c r="G2" s="11" t="s">
        <v>21</v>
      </c>
      <c r="H2" s="11" t="s">
        <v>22</v>
      </c>
    </row>
    <row r="3" spans="2:13" x14ac:dyDescent="0.3">
      <c r="B3" s="4">
        <v>2025</v>
      </c>
      <c r="C3" s="93">
        <v>1.43</v>
      </c>
      <c r="D3" s="93"/>
      <c r="E3" s="102"/>
      <c r="F3" s="20"/>
      <c r="G3" s="20"/>
      <c r="H3" s="19"/>
    </row>
    <row r="4" spans="2:13" x14ac:dyDescent="0.3">
      <c r="B4" s="4">
        <v>2026</v>
      </c>
      <c r="C4" s="94"/>
      <c r="D4" s="19">
        <f>C3*(1+F4)</f>
        <v>1.43</v>
      </c>
      <c r="E4" s="102">
        <f>'Sensitivity Analysis'!C44</f>
        <v>-0.2</v>
      </c>
      <c r="F4" s="20">
        <f>'Trade-off Analysis'!F3</f>
        <v>0</v>
      </c>
      <c r="G4" s="20">
        <f>IF('Trade-off Analysis'!$C$3='Trade-off Analysis'!$I$3,Inputs_Consumption!D13,IF('Trade-off Analysis'!$C$3='Trade-off Analysis'!$I$4,Inputs_Consumption!E13,Inputs_Consumption!F13))</f>
        <v>150.7212121212122</v>
      </c>
      <c r="H4" s="19">
        <f t="shared" ref="H4:H38" si="0">G4*(1+E4*F4)</f>
        <v>150.7212121212122</v>
      </c>
    </row>
    <row r="5" spans="2:13" x14ac:dyDescent="0.3">
      <c r="B5" s="4">
        <v>2027</v>
      </c>
      <c r="C5" s="94"/>
      <c r="D5" s="19">
        <f t="shared" ref="D5:D38" si="1">D4*(1+F5)</f>
        <v>1.43</v>
      </c>
      <c r="E5" s="102">
        <f t="shared" ref="E5:E38" si="2">E4</f>
        <v>-0.2</v>
      </c>
      <c r="F5" s="20">
        <f>'Trade-off Analysis'!F4</f>
        <v>0</v>
      </c>
      <c r="G5" s="20">
        <f>IF('Trade-off Analysis'!$C$3='Trade-off Analysis'!$I$3,Inputs_Consumption!D14,IF('Trade-off Analysis'!$C$3='Trade-off Analysis'!$I$4,Inputs_Consumption!E14,Inputs_Consumption!F14))</f>
        <v>151.00606060606066</v>
      </c>
      <c r="H5" s="19">
        <f t="shared" si="0"/>
        <v>151.00606060606066</v>
      </c>
    </row>
    <row r="6" spans="2:13" x14ac:dyDescent="0.3">
      <c r="B6" s="4">
        <v>2028</v>
      </c>
      <c r="C6" s="94"/>
      <c r="D6" s="19">
        <f t="shared" si="1"/>
        <v>1.43</v>
      </c>
      <c r="E6" s="102">
        <f t="shared" si="2"/>
        <v>-0.2</v>
      </c>
      <c r="F6" s="20">
        <f>'Trade-off Analysis'!F5</f>
        <v>0</v>
      </c>
      <c r="G6" s="20">
        <f>IF('Trade-off Analysis'!$C$3='Trade-off Analysis'!$I$3,Inputs_Consumption!D15,IF('Trade-off Analysis'!$C$3='Trade-off Analysis'!$I$4,Inputs_Consumption!E15,Inputs_Consumption!F15))</f>
        <v>151.29090909090911</v>
      </c>
      <c r="H6" s="19">
        <f t="shared" si="0"/>
        <v>151.29090909090911</v>
      </c>
    </row>
    <row r="7" spans="2:13" x14ac:dyDescent="0.3">
      <c r="B7" s="4">
        <v>2029</v>
      </c>
      <c r="C7" s="94"/>
      <c r="D7" s="19">
        <f t="shared" si="1"/>
        <v>1.43</v>
      </c>
      <c r="E7" s="102">
        <f t="shared" si="2"/>
        <v>-0.2</v>
      </c>
      <c r="F7" s="20">
        <f>'Trade-off Analysis'!F6</f>
        <v>0</v>
      </c>
      <c r="G7" s="20">
        <f>IF('Trade-off Analysis'!$C$3='Trade-off Analysis'!$I$3,Inputs_Consumption!D16,IF('Trade-off Analysis'!$C$3='Trade-off Analysis'!$I$4,Inputs_Consumption!E16,Inputs_Consumption!F16))</f>
        <v>151.57575757575768</v>
      </c>
      <c r="H7" s="19">
        <f t="shared" si="0"/>
        <v>151.57575757575768</v>
      </c>
    </row>
    <row r="8" spans="2:13" x14ac:dyDescent="0.3">
      <c r="B8" s="4">
        <v>2030</v>
      </c>
      <c r="C8" s="94"/>
      <c r="D8" s="19">
        <f t="shared" si="1"/>
        <v>1.43</v>
      </c>
      <c r="E8" s="102">
        <f t="shared" si="2"/>
        <v>-0.2</v>
      </c>
      <c r="F8" s="20">
        <f>'Trade-off Analysis'!F7</f>
        <v>0</v>
      </c>
      <c r="G8" s="20">
        <f>IF('Trade-off Analysis'!$C$3='Trade-off Analysis'!$I$3,Inputs_Consumption!D17,IF('Trade-off Analysis'!$C$3='Trade-off Analysis'!$I$4,Inputs_Consumption!E17,Inputs_Consumption!F17))</f>
        <v>151.86060606060613</v>
      </c>
      <c r="H8" s="19">
        <f t="shared" si="0"/>
        <v>151.86060606060613</v>
      </c>
    </row>
    <row r="9" spans="2:13" x14ac:dyDescent="0.3">
      <c r="B9" s="4">
        <v>2031</v>
      </c>
      <c r="C9" s="94"/>
      <c r="D9" s="19">
        <f t="shared" si="1"/>
        <v>1.43</v>
      </c>
      <c r="E9" s="102">
        <f t="shared" si="2"/>
        <v>-0.2</v>
      </c>
      <c r="F9" s="20">
        <f>'Trade-off Analysis'!F8</f>
        <v>0</v>
      </c>
      <c r="G9" s="20">
        <f>IF('Trade-off Analysis'!$C$3='Trade-off Analysis'!$I$3,Inputs_Consumption!D18,IF('Trade-off Analysis'!$C$3='Trade-off Analysis'!$I$4,Inputs_Consumption!E18,Inputs_Consumption!F18))</f>
        <v>152.14545454545458</v>
      </c>
      <c r="H9" s="19">
        <f t="shared" si="0"/>
        <v>152.14545454545458</v>
      </c>
    </row>
    <row r="10" spans="2:13" x14ac:dyDescent="0.3">
      <c r="B10" s="4">
        <v>2032</v>
      </c>
      <c r="C10" s="94"/>
      <c r="D10" s="19">
        <f t="shared" si="1"/>
        <v>1.43</v>
      </c>
      <c r="E10" s="102">
        <f t="shared" si="2"/>
        <v>-0.2</v>
      </c>
      <c r="F10" s="20">
        <f>'Trade-off Analysis'!F9</f>
        <v>0</v>
      </c>
      <c r="G10" s="20">
        <f>IF('Trade-off Analysis'!$C$3='Trade-off Analysis'!$I$3,Inputs_Consumption!D19,IF('Trade-off Analysis'!$C$3='Trade-off Analysis'!$I$4,Inputs_Consumption!E19,Inputs_Consumption!F19))</f>
        <v>152.43030303030315</v>
      </c>
      <c r="H10" s="19">
        <f t="shared" si="0"/>
        <v>152.43030303030315</v>
      </c>
    </row>
    <row r="11" spans="2:13" x14ac:dyDescent="0.3">
      <c r="B11" s="4">
        <v>2033</v>
      </c>
      <c r="C11" s="94"/>
      <c r="D11" s="19">
        <f t="shared" si="1"/>
        <v>1.43</v>
      </c>
      <c r="E11" s="102">
        <f t="shared" si="2"/>
        <v>-0.2</v>
      </c>
      <c r="F11" s="20">
        <f>'Trade-off Analysis'!F10</f>
        <v>0</v>
      </c>
      <c r="G11" s="20">
        <f>IF('Trade-off Analysis'!$C$3='Trade-off Analysis'!$I$3,Inputs_Consumption!D20,IF('Trade-off Analysis'!$C$3='Trade-off Analysis'!$I$4,Inputs_Consumption!E20,Inputs_Consumption!F20))</f>
        <v>152.7151515151516</v>
      </c>
      <c r="H11" s="19">
        <f t="shared" si="0"/>
        <v>152.7151515151516</v>
      </c>
    </row>
    <row r="12" spans="2:13" x14ac:dyDescent="0.3">
      <c r="B12" s="4">
        <v>2034</v>
      </c>
      <c r="C12" s="94"/>
      <c r="D12" s="19">
        <f t="shared" si="1"/>
        <v>1.43</v>
      </c>
      <c r="E12" s="102">
        <f t="shared" si="2"/>
        <v>-0.2</v>
      </c>
      <c r="F12" s="20">
        <f>'Trade-off Analysis'!F11</f>
        <v>0</v>
      </c>
      <c r="G12" s="20">
        <f>IF('Trade-off Analysis'!$C$3='Trade-off Analysis'!$I$3,Inputs_Consumption!D21,IF('Trade-off Analysis'!$C$3='Trade-off Analysis'!$I$4,Inputs_Consumption!E21,Inputs_Consumption!F21))</f>
        <v>153.00000000000006</v>
      </c>
      <c r="H12" s="19">
        <f t="shared" si="0"/>
        <v>153.00000000000006</v>
      </c>
    </row>
    <row r="13" spans="2:13" x14ac:dyDescent="0.3">
      <c r="B13" s="4">
        <v>2035</v>
      </c>
      <c r="C13" s="94"/>
      <c r="D13" s="19">
        <f t="shared" si="1"/>
        <v>1.43</v>
      </c>
      <c r="E13" s="102">
        <f t="shared" si="2"/>
        <v>-0.2</v>
      </c>
      <c r="F13" s="20">
        <f>'Trade-off Analysis'!F12</f>
        <v>0</v>
      </c>
      <c r="G13" s="20">
        <f>IF('Trade-off Analysis'!$C$3='Trade-off Analysis'!$I$3,Inputs_Consumption!D22,IF('Trade-off Analysis'!$C$3='Trade-off Analysis'!$I$4,Inputs_Consumption!E22,Inputs_Consumption!F22))</f>
        <v>153.28484848484851</v>
      </c>
      <c r="H13" s="19">
        <f t="shared" si="0"/>
        <v>153.28484848484851</v>
      </c>
    </row>
    <row r="14" spans="2:13" x14ac:dyDescent="0.3">
      <c r="B14" s="4">
        <v>2036</v>
      </c>
      <c r="C14" s="94"/>
      <c r="D14" s="19">
        <f t="shared" si="1"/>
        <v>1.43</v>
      </c>
      <c r="E14" s="102">
        <f t="shared" si="2"/>
        <v>-0.2</v>
      </c>
      <c r="F14" s="20">
        <f>'Trade-off Analysis'!F13</f>
        <v>0</v>
      </c>
      <c r="G14" s="20">
        <f>IF('Trade-off Analysis'!$C$3='Trade-off Analysis'!$I$3,Inputs_Consumption!D23,IF('Trade-off Analysis'!$C$3='Trade-off Analysis'!$I$4,Inputs_Consumption!E23,Inputs_Consumption!F23))</f>
        <v>153.56969696969708</v>
      </c>
      <c r="H14" s="19">
        <f t="shared" si="0"/>
        <v>153.56969696969708</v>
      </c>
    </row>
    <row r="15" spans="2:13" x14ac:dyDescent="0.3">
      <c r="B15" s="4">
        <v>2037</v>
      </c>
      <c r="C15" s="94"/>
      <c r="D15" s="19">
        <f t="shared" si="1"/>
        <v>1.43</v>
      </c>
      <c r="E15" s="102">
        <f t="shared" si="2"/>
        <v>-0.2</v>
      </c>
      <c r="F15" s="20">
        <f>'Trade-off Analysis'!F14</f>
        <v>0</v>
      </c>
      <c r="G15" s="20">
        <f>IF('Trade-off Analysis'!$C$3='Trade-off Analysis'!$I$3,Inputs_Consumption!D24,IF('Trade-off Analysis'!$C$3='Trade-off Analysis'!$I$4,Inputs_Consumption!E24,Inputs_Consumption!F24))</f>
        <v>153.85454545454553</v>
      </c>
      <c r="H15" s="19">
        <f t="shared" si="0"/>
        <v>153.85454545454553</v>
      </c>
    </row>
    <row r="16" spans="2:13" x14ac:dyDescent="0.3">
      <c r="B16" s="4">
        <v>2038</v>
      </c>
      <c r="C16" s="94"/>
      <c r="D16" s="19">
        <f t="shared" si="1"/>
        <v>1.43</v>
      </c>
      <c r="E16" s="102">
        <f t="shared" si="2"/>
        <v>-0.2</v>
      </c>
      <c r="F16" s="20">
        <f>'Trade-off Analysis'!F15</f>
        <v>0</v>
      </c>
      <c r="G16" s="20">
        <f>IF('Trade-off Analysis'!$C$3='Trade-off Analysis'!$I$3,Inputs_Consumption!D25,IF('Trade-off Analysis'!$C$3='Trade-off Analysis'!$I$4,Inputs_Consumption!E25,Inputs_Consumption!F25))</f>
        <v>154.13939393939398</v>
      </c>
      <c r="H16" s="19">
        <f t="shared" si="0"/>
        <v>154.13939393939398</v>
      </c>
    </row>
    <row r="17" spans="2:8" x14ac:dyDescent="0.3">
      <c r="B17" s="4">
        <v>2039</v>
      </c>
      <c r="C17" s="94"/>
      <c r="D17" s="19">
        <f t="shared" si="1"/>
        <v>1.43</v>
      </c>
      <c r="E17" s="102">
        <f t="shared" si="2"/>
        <v>-0.2</v>
      </c>
      <c r="F17" s="20">
        <f>'Trade-off Analysis'!F16</f>
        <v>0</v>
      </c>
      <c r="G17" s="20">
        <f>IF('Trade-off Analysis'!$C$3='Trade-off Analysis'!$I$3,Inputs_Consumption!D26,IF('Trade-off Analysis'!$C$3='Trade-off Analysis'!$I$4,Inputs_Consumption!E26,Inputs_Consumption!F26))</f>
        <v>154.42424242424244</v>
      </c>
      <c r="H17" s="19">
        <f t="shared" si="0"/>
        <v>154.42424242424244</v>
      </c>
    </row>
    <row r="18" spans="2:8" x14ac:dyDescent="0.3">
      <c r="B18" s="4">
        <v>2040</v>
      </c>
      <c r="C18" s="94"/>
      <c r="D18" s="19">
        <f t="shared" si="1"/>
        <v>1.43</v>
      </c>
      <c r="E18" s="102">
        <f t="shared" si="2"/>
        <v>-0.2</v>
      </c>
      <c r="F18" s="20">
        <f>'Trade-off Analysis'!F17</f>
        <v>0</v>
      </c>
      <c r="G18" s="20">
        <f>IF('Trade-off Analysis'!$C$3='Trade-off Analysis'!$I$3,Inputs_Consumption!D27,IF('Trade-off Analysis'!$C$3='Trade-off Analysis'!$I$4,Inputs_Consumption!E27,Inputs_Consumption!F27))</f>
        <v>154.709090909091</v>
      </c>
      <c r="H18" s="19">
        <f t="shared" si="0"/>
        <v>154.709090909091</v>
      </c>
    </row>
    <row r="19" spans="2:8" x14ac:dyDescent="0.3">
      <c r="B19" s="4">
        <v>2041</v>
      </c>
      <c r="C19" s="94"/>
      <c r="D19" s="19">
        <f t="shared" si="1"/>
        <v>1.43</v>
      </c>
      <c r="E19" s="102">
        <f t="shared" si="2"/>
        <v>-0.2</v>
      </c>
      <c r="F19" s="20">
        <f>'Trade-off Analysis'!F18</f>
        <v>0</v>
      </c>
      <c r="G19" s="20">
        <f>IF('Trade-off Analysis'!$C$3='Trade-off Analysis'!$I$3,Inputs_Consumption!D28,IF('Trade-off Analysis'!$C$3='Trade-off Analysis'!$I$4,Inputs_Consumption!E28,Inputs_Consumption!F28))</f>
        <v>154.99393939393946</v>
      </c>
      <c r="H19" s="19">
        <f t="shared" si="0"/>
        <v>154.99393939393946</v>
      </c>
    </row>
    <row r="20" spans="2:8" x14ac:dyDescent="0.3">
      <c r="B20" s="4">
        <v>2042</v>
      </c>
      <c r="C20" s="94"/>
      <c r="D20" s="19">
        <f t="shared" si="1"/>
        <v>1.43</v>
      </c>
      <c r="E20" s="102">
        <f t="shared" si="2"/>
        <v>-0.2</v>
      </c>
      <c r="F20" s="20">
        <f>'Trade-off Analysis'!F19</f>
        <v>0</v>
      </c>
      <c r="G20" s="20">
        <f>IF('Trade-off Analysis'!$C$3='Trade-off Analysis'!$I$3,Inputs_Consumption!D29,IF('Trade-off Analysis'!$C$3='Trade-off Analysis'!$I$4,Inputs_Consumption!E29,Inputs_Consumption!F29))</f>
        <v>155.27878787878791</v>
      </c>
      <c r="H20" s="19">
        <f t="shared" si="0"/>
        <v>155.27878787878791</v>
      </c>
    </row>
    <row r="21" spans="2:8" x14ac:dyDescent="0.3">
      <c r="B21" s="4">
        <v>2043</v>
      </c>
      <c r="C21" s="94"/>
      <c r="D21" s="19">
        <f t="shared" si="1"/>
        <v>1.43</v>
      </c>
      <c r="E21" s="102">
        <f t="shared" si="2"/>
        <v>-0.2</v>
      </c>
      <c r="F21" s="20">
        <f>'Trade-off Analysis'!F20</f>
        <v>0</v>
      </c>
      <c r="G21" s="20">
        <f>IF('Trade-off Analysis'!$C$3='Trade-off Analysis'!$I$3,Inputs_Consumption!D30,IF('Trade-off Analysis'!$C$3='Trade-off Analysis'!$I$4,Inputs_Consumption!E30,Inputs_Consumption!F30))</f>
        <v>155.56363636363648</v>
      </c>
      <c r="H21" s="19">
        <f t="shared" si="0"/>
        <v>155.56363636363648</v>
      </c>
    </row>
    <row r="22" spans="2:8" x14ac:dyDescent="0.3">
      <c r="B22" s="4">
        <v>2044</v>
      </c>
      <c r="C22" s="94"/>
      <c r="D22" s="19">
        <f t="shared" si="1"/>
        <v>1.43</v>
      </c>
      <c r="E22" s="102">
        <f t="shared" si="2"/>
        <v>-0.2</v>
      </c>
      <c r="F22" s="20">
        <f>'Trade-off Analysis'!F21</f>
        <v>0</v>
      </c>
      <c r="G22" s="20">
        <f>IF('Trade-off Analysis'!$C$3='Trade-off Analysis'!$I$3,Inputs_Consumption!D31,IF('Trade-off Analysis'!$C$3='Trade-off Analysis'!$I$4,Inputs_Consumption!E31,Inputs_Consumption!F31))</f>
        <v>155.84848484848493</v>
      </c>
      <c r="H22" s="19">
        <f t="shared" si="0"/>
        <v>155.84848484848493</v>
      </c>
    </row>
    <row r="23" spans="2:8" x14ac:dyDescent="0.3">
      <c r="B23" s="4">
        <v>2045</v>
      </c>
      <c r="C23" s="94"/>
      <c r="D23" s="19">
        <f t="shared" si="1"/>
        <v>1.43</v>
      </c>
      <c r="E23" s="102">
        <f t="shared" si="2"/>
        <v>-0.2</v>
      </c>
      <c r="F23" s="20">
        <f>'Trade-off Analysis'!F22</f>
        <v>0</v>
      </c>
      <c r="G23" s="20">
        <f>IF('Trade-off Analysis'!$C$3='Trade-off Analysis'!$I$3,Inputs_Consumption!D32,IF('Trade-off Analysis'!$C$3='Trade-off Analysis'!$I$4,Inputs_Consumption!E32,Inputs_Consumption!F32))</f>
        <v>156.13333333333338</v>
      </c>
      <c r="H23" s="19">
        <f t="shared" si="0"/>
        <v>156.13333333333338</v>
      </c>
    </row>
    <row r="24" spans="2:8" x14ac:dyDescent="0.3">
      <c r="B24" s="4">
        <v>2046</v>
      </c>
      <c r="C24" s="94"/>
      <c r="D24" s="19">
        <f t="shared" si="1"/>
        <v>1.43</v>
      </c>
      <c r="E24" s="102">
        <f t="shared" si="2"/>
        <v>-0.2</v>
      </c>
      <c r="F24" s="20">
        <f>'Trade-off Analysis'!F23</f>
        <v>0</v>
      </c>
      <c r="G24" s="20">
        <f>IF('Trade-off Analysis'!$C$3='Trade-off Analysis'!$I$3,Inputs_Consumption!D33,IF('Trade-off Analysis'!$C$3='Trade-off Analysis'!$I$4,Inputs_Consumption!E33,Inputs_Consumption!F33))</f>
        <v>156.41818181818184</v>
      </c>
      <c r="H24" s="19">
        <f t="shared" si="0"/>
        <v>156.41818181818184</v>
      </c>
    </row>
    <row r="25" spans="2:8" x14ac:dyDescent="0.3">
      <c r="B25" s="4">
        <v>2047</v>
      </c>
      <c r="C25" s="94"/>
      <c r="D25" s="19">
        <f t="shared" si="1"/>
        <v>1.43</v>
      </c>
      <c r="E25" s="102">
        <f t="shared" si="2"/>
        <v>-0.2</v>
      </c>
      <c r="F25" s="20">
        <f>'Trade-off Analysis'!F24</f>
        <v>0</v>
      </c>
      <c r="G25" s="20">
        <f>IF('Trade-off Analysis'!$C$3='Trade-off Analysis'!$I$3,Inputs_Consumption!D34,IF('Trade-off Analysis'!$C$3='Trade-off Analysis'!$I$4,Inputs_Consumption!E34,Inputs_Consumption!F34))</f>
        <v>156.7030303030304</v>
      </c>
      <c r="H25" s="19">
        <f t="shared" si="0"/>
        <v>156.7030303030304</v>
      </c>
    </row>
    <row r="26" spans="2:8" x14ac:dyDescent="0.3">
      <c r="B26" s="4">
        <v>2048</v>
      </c>
      <c r="C26" s="94"/>
      <c r="D26" s="19">
        <f t="shared" si="1"/>
        <v>1.43</v>
      </c>
      <c r="E26" s="102">
        <f t="shared" si="2"/>
        <v>-0.2</v>
      </c>
      <c r="F26" s="20">
        <f>'Trade-off Analysis'!F25</f>
        <v>0</v>
      </c>
      <c r="G26" s="20">
        <f>IF('Trade-off Analysis'!$C$3='Trade-off Analysis'!$I$3,Inputs_Consumption!D35,IF('Trade-off Analysis'!$C$3='Trade-off Analysis'!$I$4,Inputs_Consumption!E35,Inputs_Consumption!F35))</f>
        <v>156.98787878787886</v>
      </c>
      <c r="H26" s="19">
        <f t="shared" si="0"/>
        <v>156.98787878787886</v>
      </c>
    </row>
    <row r="27" spans="2:8" x14ac:dyDescent="0.3">
      <c r="B27" s="4">
        <v>2049</v>
      </c>
      <c r="C27" s="94"/>
      <c r="D27" s="19">
        <f t="shared" si="1"/>
        <v>1.43</v>
      </c>
      <c r="E27" s="102">
        <f t="shared" si="2"/>
        <v>-0.2</v>
      </c>
      <c r="F27" s="20">
        <f>'Trade-off Analysis'!F26</f>
        <v>0</v>
      </c>
      <c r="G27" s="20">
        <f>IF('Trade-off Analysis'!$C$3='Trade-off Analysis'!$I$3,Inputs_Consumption!D36,IF('Trade-off Analysis'!$C$3='Trade-off Analysis'!$I$4,Inputs_Consumption!E36,Inputs_Consumption!F36))</f>
        <v>157.27272727272731</v>
      </c>
      <c r="H27" s="19">
        <f t="shared" si="0"/>
        <v>157.27272727272731</v>
      </c>
    </row>
    <row r="28" spans="2:8" x14ac:dyDescent="0.3">
      <c r="B28" s="4">
        <v>2050</v>
      </c>
      <c r="C28" s="94"/>
      <c r="D28" s="19">
        <f t="shared" si="1"/>
        <v>1.43</v>
      </c>
      <c r="E28" s="102">
        <f t="shared" si="2"/>
        <v>-0.2</v>
      </c>
      <c r="F28" s="20">
        <f>'Trade-off Analysis'!F27</f>
        <v>0</v>
      </c>
      <c r="G28" s="20">
        <f>IF('Trade-off Analysis'!$C$3='Trade-off Analysis'!$I$3,Inputs_Consumption!D37,IF('Trade-off Analysis'!$C$3='Trade-off Analysis'!$I$4,Inputs_Consumption!E37,Inputs_Consumption!F37))</f>
        <v>157.55757575757588</v>
      </c>
      <c r="H28" s="19">
        <f t="shared" si="0"/>
        <v>157.55757575757588</v>
      </c>
    </row>
    <row r="29" spans="2:8" x14ac:dyDescent="0.3">
      <c r="B29" s="4">
        <v>2051</v>
      </c>
      <c r="C29" s="94"/>
      <c r="D29" s="19">
        <f t="shared" si="1"/>
        <v>1.43</v>
      </c>
      <c r="E29" s="102">
        <f t="shared" si="2"/>
        <v>-0.2</v>
      </c>
      <c r="F29" s="20">
        <f>'Trade-off Analysis'!F28</f>
        <v>0</v>
      </c>
      <c r="G29" s="20">
        <f>IF('Trade-off Analysis'!$C$3='Trade-off Analysis'!$I$3,Inputs_Consumption!D38,IF('Trade-off Analysis'!$C$3='Trade-off Analysis'!$I$4,Inputs_Consumption!E38,Inputs_Consumption!F38))</f>
        <v>157.84242424242433</v>
      </c>
      <c r="H29" s="19">
        <f t="shared" si="0"/>
        <v>157.84242424242433</v>
      </c>
    </row>
    <row r="30" spans="2:8" x14ac:dyDescent="0.3">
      <c r="B30" s="4">
        <v>2052</v>
      </c>
      <c r="C30" s="94"/>
      <c r="D30" s="19">
        <f t="shared" si="1"/>
        <v>1.43</v>
      </c>
      <c r="E30" s="102">
        <f t="shared" si="2"/>
        <v>-0.2</v>
      </c>
      <c r="F30" s="20">
        <f>'Trade-off Analysis'!F29</f>
        <v>0</v>
      </c>
      <c r="G30" s="20">
        <f>IF('Trade-off Analysis'!$C$3='Trade-off Analysis'!$I$3,Inputs_Consumption!D39,IF('Trade-off Analysis'!$C$3='Trade-off Analysis'!$I$4,Inputs_Consumption!E39,Inputs_Consumption!F39))</f>
        <v>158.12727272727278</v>
      </c>
      <c r="H30" s="19">
        <f t="shared" si="0"/>
        <v>158.12727272727278</v>
      </c>
    </row>
    <row r="31" spans="2:8" x14ac:dyDescent="0.3">
      <c r="B31" s="4">
        <v>2053</v>
      </c>
      <c r="C31" s="94"/>
      <c r="D31" s="19">
        <f t="shared" si="1"/>
        <v>1.43</v>
      </c>
      <c r="E31" s="102">
        <f t="shared" si="2"/>
        <v>-0.2</v>
      </c>
      <c r="F31" s="20">
        <f>'Trade-off Analysis'!F30</f>
        <v>0</v>
      </c>
      <c r="G31" s="20">
        <f>IF('Trade-off Analysis'!$C$3='Trade-off Analysis'!$I$3,Inputs_Consumption!D40,IF('Trade-off Analysis'!$C$3='Trade-off Analysis'!$I$4,Inputs_Consumption!E40,Inputs_Consumption!F40))</f>
        <v>158.41212121212124</v>
      </c>
      <c r="H31" s="19">
        <f t="shared" si="0"/>
        <v>158.41212121212124</v>
      </c>
    </row>
    <row r="32" spans="2:8" x14ac:dyDescent="0.3">
      <c r="B32" s="4">
        <v>2054</v>
      </c>
      <c r="C32" s="94"/>
      <c r="D32" s="19">
        <f t="shared" si="1"/>
        <v>1.43</v>
      </c>
      <c r="E32" s="102">
        <f t="shared" si="2"/>
        <v>-0.2</v>
      </c>
      <c r="F32" s="20">
        <f>'Trade-off Analysis'!F31</f>
        <v>0</v>
      </c>
      <c r="G32" s="20">
        <f>IF('Trade-off Analysis'!$C$3='Trade-off Analysis'!$I$3,Inputs_Consumption!D41,IF('Trade-off Analysis'!$C$3='Trade-off Analysis'!$I$4,Inputs_Consumption!E41,Inputs_Consumption!F41))</f>
        <v>158.6969696969698</v>
      </c>
      <c r="H32" s="19">
        <f t="shared" si="0"/>
        <v>158.6969696969698</v>
      </c>
    </row>
    <row r="33" spans="2:23" x14ac:dyDescent="0.3">
      <c r="B33" s="4">
        <v>2055</v>
      </c>
      <c r="C33" s="94"/>
      <c r="D33" s="19">
        <f t="shared" si="1"/>
        <v>1.43</v>
      </c>
      <c r="E33" s="102">
        <f t="shared" si="2"/>
        <v>-0.2</v>
      </c>
      <c r="F33" s="20">
        <f>'Trade-off Analysis'!F32</f>
        <v>0</v>
      </c>
      <c r="G33" s="20">
        <f>IF('Trade-off Analysis'!$C$3='Trade-off Analysis'!$I$3,Inputs_Consumption!D42,IF('Trade-off Analysis'!$C$3='Trade-off Analysis'!$I$4,Inputs_Consumption!E42,Inputs_Consumption!F42))</f>
        <v>158.98181818181826</v>
      </c>
      <c r="H33" s="19">
        <f t="shared" si="0"/>
        <v>158.98181818181826</v>
      </c>
    </row>
    <row r="34" spans="2:23" x14ac:dyDescent="0.3">
      <c r="B34" s="4">
        <v>2056</v>
      </c>
      <c r="C34" s="94"/>
      <c r="D34" s="19">
        <f t="shared" si="1"/>
        <v>1.5298982288313006</v>
      </c>
      <c r="E34" s="102">
        <f t="shared" si="2"/>
        <v>-0.2</v>
      </c>
      <c r="F34" s="20">
        <f>'Trade-off Analysis'!F33</f>
        <v>6.9858901280629979E-2</v>
      </c>
      <c r="G34" s="20">
        <f>IF('Trade-off Analysis'!$C$3='Trade-off Analysis'!$I$3,Inputs_Consumption!D43,IF('Trade-off Analysis'!$C$3='Trade-off Analysis'!$I$4,Inputs_Consumption!E43,Inputs_Consumption!F43))</f>
        <v>159.26666666666671</v>
      </c>
      <c r="H34" s="19">
        <f t="shared" si="0"/>
        <v>157.04142779787438</v>
      </c>
    </row>
    <row r="35" spans="2:23" x14ac:dyDescent="0.3">
      <c r="B35" s="4">
        <v>2057</v>
      </c>
      <c r="C35" s="94"/>
      <c r="D35" s="19">
        <f t="shared" si="1"/>
        <v>1.7551163741274904</v>
      </c>
      <c r="E35" s="102">
        <f t="shared" si="2"/>
        <v>-0.2</v>
      </c>
      <c r="F35" s="20">
        <f>'Trade-off Analysis'!F34</f>
        <v>0.14721119421664752</v>
      </c>
      <c r="G35" s="20">
        <f>IF('Trade-off Analysis'!$C$3='Trade-off Analysis'!$I$3,Inputs_Consumption!D44,IF('Trade-off Analysis'!$C$3='Trade-off Analysis'!$I$4,Inputs_Consumption!E44,Inputs_Consumption!F44))</f>
        <v>159.55151515151528</v>
      </c>
      <c r="H35" s="19">
        <f t="shared" si="0"/>
        <v>154.85396133460927</v>
      </c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</row>
    <row r="36" spans="2:23" x14ac:dyDescent="0.3">
      <c r="B36" s="4">
        <v>2058</v>
      </c>
      <c r="C36" s="94"/>
      <c r="D36" s="19">
        <f t="shared" si="1"/>
        <v>2.1459138709120169</v>
      </c>
      <c r="E36" s="102">
        <f t="shared" si="2"/>
        <v>-0.2</v>
      </c>
      <c r="F36" s="20">
        <f>'Trade-off Analysis'!F35</f>
        <v>0.22266187162592055</v>
      </c>
      <c r="G36" s="20">
        <f>IF('Trade-off Analysis'!$C$3='Trade-off Analysis'!$I$3,Inputs_Consumption!D45,IF('Trade-off Analysis'!$C$3='Trade-off Analysis'!$I$4,Inputs_Consumption!E45,Inputs_Consumption!F45))</f>
        <v>159.83636363636373</v>
      </c>
      <c r="H36" s="19">
        <f t="shared" si="0"/>
        <v>152.71847086013292</v>
      </c>
    </row>
    <row r="37" spans="2:23" x14ac:dyDescent="0.3">
      <c r="B37" s="4">
        <v>2059</v>
      </c>
      <c r="C37" s="94"/>
      <c r="D37" s="19">
        <f t="shared" si="1"/>
        <v>2.7817134193722168</v>
      </c>
      <c r="E37" s="102">
        <f t="shared" si="2"/>
        <v>-0.2</v>
      </c>
      <c r="F37" s="20">
        <f>'Trade-off Analysis'!F36</f>
        <v>0.29628381505823626</v>
      </c>
      <c r="G37" s="20">
        <f>IF('Trade-off Analysis'!$C$3='Trade-off Analysis'!$I$3,Inputs_Consumption!D46,IF('Trade-off Analysis'!$C$3='Trade-off Analysis'!$I$4,Inputs_Consumption!E46,Inputs_Consumption!F46))</f>
        <v>160.12121212121218</v>
      </c>
      <c r="H37" s="19">
        <f t="shared" si="0"/>
        <v>150.63294740140782</v>
      </c>
    </row>
    <row r="38" spans="2:23" x14ac:dyDescent="0.3">
      <c r="B38" s="4">
        <v>2060</v>
      </c>
      <c r="C38" s="94"/>
      <c r="D38" s="19">
        <f t="shared" si="1"/>
        <v>3.8057804286992805</v>
      </c>
      <c r="E38" s="102">
        <f t="shared" si="2"/>
        <v>-0.2</v>
      </c>
      <c r="F38" s="20">
        <f>'Trade-off Analysis'!F37</f>
        <v>0.36814252762176236</v>
      </c>
      <c r="G38" s="20">
        <f>IF('Trade-off Analysis'!$C$3='Trade-off Analysis'!$I$3,Inputs_Consumption!D47,IF('Trade-off Analysis'!$C$3='Trade-off Analysis'!$I$4,Inputs_Consumption!E47,Inputs_Consumption!F47))</f>
        <v>160.40606060606063</v>
      </c>
      <c r="H38" s="19">
        <f t="shared" si="0"/>
        <v>148.59560208658766</v>
      </c>
    </row>
    <row r="42" spans="2:23" x14ac:dyDescent="0.3">
      <c r="B42" s="7" t="s">
        <v>5</v>
      </c>
    </row>
    <row r="43" spans="2:23" x14ac:dyDescent="0.3">
      <c r="B43" t="s">
        <v>17</v>
      </c>
      <c r="C43" t="s">
        <v>6</v>
      </c>
    </row>
    <row r="44" spans="2:23" x14ac:dyDescent="0.3">
      <c r="B44" t="s">
        <v>18</v>
      </c>
      <c r="C44" s="8" t="s">
        <v>23</v>
      </c>
    </row>
    <row r="45" spans="2:23" x14ac:dyDescent="0.3">
      <c r="B45" t="s">
        <v>19</v>
      </c>
      <c r="C45" s="8" t="s">
        <v>24</v>
      </c>
    </row>
    <row r="46" spans="2:23" x14ac:dyDescent="0.3">
      <c r="B46" t="s">
        <v>20</v>
      </c>
      <c r="C46" s="8" t="s">
        <v>25</v>
      </c>
    </row>
    <row r="47" spans="2:23" x14ac:dyDescent="0.3">
      <c r="B47" t="s">
        <v>22</v>
      </c>
      <c r="C47" s="8" t="s">
        <v>26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EC65-DA7D-4E4B-AD40-B8E856537183}">
  <dimension ref="B2:TN58"/>
  <sheetViews>
    <sheetView showGridLines="0" topLeftCell="F1" zoomScale="108" zoomScaleNormal="90" workbookViewId="0">
      <selection activeCell="M35" sqref="M35"/>
    </sheetView>
  </sheetViews>
  <sheetFormatPr defaultColWidth="8.88671875" defaultRowHeight="14.4" x14ac:dyDescent="0.3"/>
  <cols>
    <col min="1" max="1" width="12.109375" bestFit="1" customWidth="1"/>
    <col min="2" max="2" width="18.44140625" customWidth="1"/>
    <col min="3" max="3" width="20.6640625" customWidth="1"/>
    <col min="4" max="8" width="18.44140625" customWidth="1"/>
    <col min="9" max="9" width="34.88671875" bestFit="1" customWidth="1"/>
    <col min="10" max="10" width="13.6640625" customWidth="1"/>
    <col min="11" max="11" width="11.6640625" customWidth="1"/>
    <col min="12" max="12" width="12.44140625" customWidth="1"/>
    <col min="13" max="13" width="17.88671875" customWidth="1"/>
    <col min="14" max="14" width="15.44140625" customWidth="1"/>
    <col min="15" max="15" width="18.109375" customWidth="1"/>
    <col min="17" max="17" width="11.88671875" bestFit="1" customWidth="1"/>
  </cols>
  <sheetData>
    <row r="2" spans="2:15" s="43" customFormat="1" x14ac:dyDescent="0.3">
      <c r="B2" s="76" t="s">
        <v>0</v>
      </c>
      <c r="C2" s="76" t="s">
        <v>27</v>
      </c>
      <c r="D2" s="76" t="s">
        <v>28</v>
      </c>
      <c r="E2" s="76" t="s">
        <v>29</v>
      </c>
      <c r="F2" s="76" t="s">
        <v>30</v>
      </c>
      <c r="G2" s="76" t="s">
        <v>31</v>
      </c>
      <c r="I2" s="77" t="s">
        <v>32</v>
      </c>
      <c r="J2" s="43">
        <v>3785.4117999999999</v>
      </c>
      <c r="N2" s="78" t="s">
        <v>33</v>
      </c>
      <c r="O2" s="78" t="s">
        <v>34</v>
      </c>
    </row>
    <row r="3" spans="2:15" x14ac:dyDescent="0.3">
      <c r="B3" s="4">
        <v>2025</v>
      </c>
      <c r="C3" s="40">
        <f>$J$29</f>
        <v>295821181.31313133</v>
      </c>
      <c r="D3" s="40">
        <f ca="1">IF(B3&lt;=$J$54,
   $J$50*$J$2*365 *
   IF($J$56=1,
      $J$51 * IF(RAND()&lt;$J$52, 1-$J$53, 1),
      $J$55
   ),
   0
)</f>
        <v>321584927.70424998</v>
      </c>
      <c r="E3" s="40">
        <f>SUM($N$12:$N$15)*365</f>
        <v>201724594.822</v>
      </c>
      <c r="F3" s="40">
        <f t="shared" ref="F3:F38" si="0">SUM($N$7:$N$11)*365</f>
        <v>210014646.66399997</v>
      </c>
      <c r="G3" s="40">
        <f ca="1">SUM(C3:F3)</f>
        <v>1029145350.5033813</v>
      </c>
      <c r="L3" s="15" t="s">
        <v>35</v>
      </c>
      <c r="M3" s="17">
        <v>2060</v>
      </c>
      <c r="N3" s="41">
        <f>SUMIFS($N$7:$N$18, $J$7:$J$18, "Desal", $K$7:$K$18, "&lt;=" &amp; $M$3)</f>
        <v>575382.59359999991</v>
      </c>
      <c r="O3" s="41">
        <f>SUMIFS($N$7:$N$18, $J$7:$J$18, "NEwater", $K$7:$K$18, "&lt;=" &amp; $M$3)</f>
        <v>2000211.5951200002</v>
      </c>
    </row>
    <row r="4" spans="2:15" x14ac:dyDescent="0.3">
      <c r="B4" s="4">
        <v>2026</v>
      </c>
      <c r="C4" s="58">
        <f ca="1">MAX($J$32,
     $J$29 * (1+$J$30)^(B4-$J$23) *
     IF($J$56=1, EXP(-0.5*$J$34^2 + $J$34*_xlfn.NORM.S.INV(RAND())), 1)
)</f>
        <v>295821181.31313133</v>
      </c>
      <c r="D4" s="40">
        <f t="shared" ref="D4:D38" ca="1" si="1">IF(B4&lt;=$J$54,
   $J$50*$J$2*365 *
   IF($J$56=1,
      $J$51 * IF(RAND()&lt;$J$52, 1-$J$53, 1),
      $J$55
   ),
   0
)</f>
        <v>321584927.70424998</v>
      </c>
      <c r="E4" s="40">
        <f>SUM($N$12:$N$15)*365</f>
        <v>201724594.822</v>
      </c>
      <c r="F4" s="40">
        <f t="shared" si="0"/>
        <v>210014646.66399997</v>
      </c>
      <c r="G4" s="40">
        <f ca="1">SUM(C4:F4)</f>
        <v>1029145350.5033813</v>
      </c>
      <c r="L4" s="15" t="s">
        <v>36</v>
      </c>
      <c r="M4" s="17">
        <v>0.8</v>
      </c>
    </row>
    <row r="5" spans="2:15" x14ac:dyDescent="0.3">
      <c r="B5" s="4">
        <v>2027</v>
      </c>
      <c r="C5" s="58">
        <f t="shared" ref="C5:C38" ca="1" si="2">MAX($J$32,
     $J$29 * (1+$J$30)^(B5-$J$23) *
     IF($J$56=1, EXP(-0.5*$J$34^2 + $J$34*_xlfn.NORM.S.INV(RAND())), 1)
)</f>
        <v>295821181.31313133</v>
      </c>
      <c r="D5" s="40">
        <f t="shared" ca="1" si="1"/>
        <v>321584927.70424998</v>
      </c>
      <c r="E5" s="40">
        <f t="shared" ref="E5:E12" si="3">SUM($N$12:$N$16)*365</f>
        <v>436056726.88920003</v>
      </c>
      <c r="F5" s="40">
        <f t="shared" si="0"/>
        <v>210014646.66399997</v>
      </c>
      <c r="G5" s="40">
        <f ca="1">SUM(C5:F5)</f>
        <v>1263477482.5705814</v>
      </c>
    </row>
    <row r="6" spans="2:15" x14ac:dyDescent="0.3">
      <c r="B6" s="4">
        <v>2028</v>
      </c>
      <c r="C6" s="58">
        <f t="shared" ca="1" si="2"/>
        <v>295821181.31313133</v>
      </c>
      <c r="D6" s="40">
        <f t="shared" ca="1" si="1"/>
        <v>321584927.70424998</v>
      </c>
      <c r="E6" s="40">
        <f t="shared" si="3"/>
        <v>436056726.88920003</v>
      </c>
      <c r="F6" s="40">
        <f t="shared" si="0"/>
        <v>210014646.66399997</v>
      </c>
      <c r="G6" s="40">
        <f t="shared" ref="G6:G38" ca="1" si="4">SUM(C6:F6)</f>
        <v>1263477482.5705814</v>
      </c>
      <c r="I6" s="42" t="s">
        <v>37</v>
      </c>
      <c r="J6" s="42" t="s">
        <v>38</v>
      </c>
      <c r="K6" s="42" t="s">
        <v>39</v>
      </c>
      <c r="L6" s="42" t="s">
        <v>40</v>
      </c>
      <c r="M6" s="42" t="s">
        <v>41</v>
      </c>
      <c r="N6" s="42" t="s">
        <v>42</v>
      </c>
      <c r="O6" s="42" t="s">
        <v>43</v>
      </c>
    </row>
    <row r="7" spans="2:15" x14ac:dyDescent="0.3">
      <c r="B7" s="4">
        <v>2029</v>
      </c>
      <c r="C7" s="58">
        <f t="shared" ca="1" si="2"/>
        <v>295821181.31313133</v>
      </c>
      <c r="D7" s="40">
        <f t="shared" ca="1" si="1"/>
        <v>321584927.70424998</v>
      </c>
      <c r="E7" s="40">
        <f t="shared" si="3"/>
        <v>436056726.88920003</v>
      </c>
      <c r="F7" s="40">
        <f t="shared" si="0"/>
        <v>210014646.66399997</v>
      </c>
      <c r="G7" s="40">
        <f t="shared" ca="1" si="4"/>
        <v>1263477482.5705814</v>
      </c>
      <c r="I7" s="4" t="s">
        <v>44</v>
      </c>
      <c r="J7" s="4" t="s">
        <v>45</v>
      </c>
      <c r="K7" s="4">
        <v>2005</v>
      </c>
      <c r="L7" s="80">
        <v>30</v>
      </c>
      <c r="M7" s="80">
        <f t="shared" ref="M7:M18" si="5">L7*$M$4</f>
        <v>24</v>
      </c>
      <c r="N7" s="80">
        <f t="shared" ref="N7:N18" si="6">M7*$J$2</f>
        <v>90849.883199999997</v>
      </c>
      <c r="O7" s="80">
        <v>200</v>
      </c>
    </row>
    <row r="8" spans="2:15" x14ac:dyDescent="0.3">
      <c r="B8" s="4">
        <v>2030</v>
      </c>
      <c r="C8" s="58">
        <f t="shared" ca="1" si="2"/>
        <v>295821181.31313133</v>
      </c>
      <c r="D8" s="40">
        <f t="shared" ca="1" si="1"/>
        <v>321584927.70424998</v>
      </c>
      <c r="E8" s="40">
        <f t="shared" si="3"/>
        <v>436056726.88920003</v>
      </c>
      <c r="F8" s="40">
        <f t="shared" si="0"/>
        <v>210014646.66399997</v>
      </c>
      <c r="G8" s="40">
        <f t="shared" ca="1" si="4"/>
        <v>1263477482.5705814</v>
      </c>
      <c r="I8" s="4" t="s">
        <v>46</v>
      </c>
      <c r="J8" s="4" t="s">
        <v>45</v>
      </c>
      <c r="K8" s="4">
        <v>2013</v>
      </c>
      <c r="L8" s="80">
        <v>70</v>
      </c>
      <c r="M8" s="80">
        <f t="shared" si="5"/>
        <v>56</v>
      </c>
      <c r="N8" s="80">
        <f t="shared" si="6"/>
        <v>211983.06079999998</v>
      </c>
      <c r="O8" s="80">
        <v>1050</v>
      </c>
    </row>
    <row r="9" spans="2:15" x14ac:dyDescent="0.3">
      <c r="B9" s="4">
        <v>2031</v>
      </c>
      <c r="C9" s="58">
        <f t="shared" ca="1" si="2"/>
        <v>295821181.31313133</v>
      </c>
      <c r="D9" s="40">
        <f t="shared" ca="1" si="1"/>
        <v>321584927.70424998</v>
      </c>
      <c r="E9" s="40">
        <f t="shared" si="3"/>
        <v>436056726.88920003</v>
      </c>
      <c r="F9" s="40">
        <f t="shared" si="0"/>
        <v>210014646.66399997</v>
      </c>
      <c r="G9" s="40">
        <f t="shared" ca="1" si="4"/>
        <v>1263477482.5705814</v>
      </c>
      <c r="I9" s="4" t="s">
        <v>47</v>
      </c>
      <c r="J9" s="4" t="s">
        <v>45</v>
      </c>
      <c r="K9" s="4">
        <v>2018</v>
      </c>
      <c r="L9" s="80">
        <v>30</v>
      </c>
      <c r="M9" s="80">
        <f t="shared" si="5"/>
        <v>24</v>
      </c>
      <c r="N9" s="80">
        <f t="shared" si="6"/>
        <v>90849.883199999997</v>
      </c>
      <c r="O9" s="80">
        <v>217</v>
      </c>
    </row>
    <row r="10" spans="2:15" x14ac:dyDescent="0.3">
      <c r="B10" s="4">
        <v>2032</v>
      </c>
      <c r="C10" s="58">
        <f t="shared" ca="1" si="2"/>
        <v>295821181.31313133</v>
      </c>
      <c r="D10" s="40">
        <f t="shared" ca="1" si="1"/>
        <v>321584927.70424998</v>
      </c>
      <c r="E10" s="40">
        <f t="shared" si="3"/>
        <v>436056726.88920003</v>
      </c>
      <c r="F10" s="40">
        <f t="shared" si="0"/>
        <v>210014646.66399997</v>
      </c>
      <c r="G10" s="40">
        <f t="shared" ca="1" si="4"/>
        <v>1263477482.5705814</v>
      </c>
      <c r="I10" s="4" t="s">
        <v>48</v>
      </c>
      <c r="J10" s="4" t="s">
        <v>45</v>
      </c>
      <c r="K10" s="4">
        <v>2020</v>
      </c>
      <c r="L10" s="80">
        <v>30</v>
      </c>
      <c r="M10" s="80">
        <f t="shared" si="5"/>
        <v>24</v>
      </c>
      <c r="N10" s="80">
        <f t="shared" si="6"/>
        <v>90849.883199999997</v>
      </c>
      <c r="O10" s="80" t="s">
        <v>49</v>
      </c>
    </row>
    <row r="11" spans="2:15" x14ac:dyDescent="0.3">
      <c r="B11" s="4">
        <v>2033</v>
      </c>
      <c r="C11" s="58">
        <f t="shared" ca="1" si="2"/>
        <v>295821181.31313133</v>
      </c>
      <c r="D11" s="40">
        <f t="shared" ca="1" si="1"/>
        <v>321584927.70424998</v>
      </c>
      <c r="E11" s="40">
        <f t="shared" si="3"/>
        <v>436056726.88920003</v>
      </c>
      <c r="F11" s="40">
        <f t="shared" si="0"/>
        <v>210014646.66399997</v>
      </c>
      <c r="G11" s="40">
        <f t="shared" ca="1" si="4"/>
        <v>1263477482.5705814</v>
      </c>
      <c r="I11" s="4" t="s">
        <v>50</v>
      </c>
      <c r="J11" s="4" t="s">
        <v>45</v>
      </c>
      <c r="K11" s="4">
        <v>2022</v>
      </c>
      <c r="L11" s="80">
        <v>30</v>
      </c>
      <c r="M11" s="80">
        <f t="shared" si="5"/>
        <v>24</v>
      </c>
      <c r="N11" s="80">
        <f t="shared" si="6"/>
        <v>90849.883199999997</v>
      </c>
      <c r="O11" s="80" t="s">
        <v>49</v>
      </c>
    </row>
    <row r="12" spans="2:15" x14ac:dyDescent="0.3">
      <c r="B12" s="4">
        <v>2034</v>
      </c>
      <c r="C12" s="58">
        <f t="shared" ca="1" si="2"/>
        <v>295821181.31313133</v>
      </c>
      <c r="D12" s="40">
        <f t="shared" ca="1" si="1"/>
        <v>321584927.70424998</v>
      </c>
      <c r="E12" s="40">
        <f t="shared" si="3"/>
        <v>436056726.88920003</v>
      </c>
      <c r="F12" s="40">
        <f t="shared" si="0"/>
        <v>210014646.66399997</v>
      </c>
      <c r="G12" s="40">
        <f t="shared" ca="1" si="4"/>
        <v>1263477482.5705814</v>
      </c>
      <c r="I12" s="4" t="s">
        <v>51</v>
      </c>
      <c r="J12" s="4" t="s">
        <v>52</v>
      </c>
      <c r="K12" s="4">
        <v>2003</v>
      </c>
      <c r="L12" s="80">
        <v>50</v>
      </c>
      <c r="M12" s="80">
        <f t="shared" si="5"/>
        <v>40</v>
      </c>
      <c r="N12" s="80">
        <f t="shared" si="6"/>
        <v>151416.47200000001</v>
      </c>
      <c r="O12" s="80" t="s">
        <v>49</v>
      </c>
    </row>
    <row r="13" spans="2:15" x14ac:dyDescent="0.3">
      <c r="B13" s="4">
        <v>2035</v>
      </c>
      <c r="C13" s="58">
        <f t="shared" ca="1" si="2"/>
        <v>295821181.31313133</v>
      </c>
      <c r="D13" s="40">
        <f t="shared" ca="1" si="1"/>
        <v>321584927.70424998</v>
      </c>
      <c r="E13" s="40">
        <f t="shared" ref="E13:E38" si="7">SUM($N$12:$N$18)*365</f>
        <v>730077232.21880007</v>
      </c>
      <c r="F13" s="40">
        <f t="shared" si="0"/>
        <v>210014646.66399997</v>
      </c>
      <c r="G13" s="40">
        <f t="shared" ca="1" si="4"/>
        <v>1557497987.9001813</v>
      </c>
      <c r="I13" s="4" t="s">
        <v>53</v>
      </c>
      <c r="J13" s="4" t="s">
        <v>52</v>
      </c>
      <c r="K13" s="4">
        <v>2007</v>
      </c>
      <c r="L13" s="80">
        <v>32.5</v>
      </c>
      <c r="M13" s="80">
        <f t="shared" si="5"/>
        <v>26</v>
      </c>
      <c r="N13" s="80">
        <f t="shared" si="6"/>
        <v>98420.7068</v>
      </c>
      <c r="O13" s="80" t="s">
        <v>49</v>
      </c>
    </row>
    <row r="14" spans="2:15" x14ac:dyDescent="0.3">
      <c r="B14" s="4">
        <v>2036</v>
      </c>
      <c r="C14" s="58">
        <f t="shared" ca="1" si="2"/>
        <v>295821181.31313133</v>
      </c>
      <c r="D14" s="40">
        <f t="shared" ca="1" si="1"/>
        <v>321584927.70424998</v>
      </c>
      <c r="E14" s="40">
        <f t="shared" si="7"/>
        <v>730077232.21880007</v>
      </c>
      <c r="F14" s="40">
        <f t="shared" si="0"/>
        <v>210014646.66399997</v>
      </c>
      <c r="G14" s="40">
        <f t="shared" ca="1" si="4"/>
        <v>1557497987.9001813</v>
      </c>
      <c r="I14" s="4" t="s">
        <v>54</v>
      </c>
      <c r="J14" s="4" t="s">
        <v>52</v>
      </c>
      <c r="K14" s="4">
        <v>2009</v>
      </c>
      <c r="L14" s="80">
        <v>50</v>
      </c>
      <c r="M14" s="80">
        <f t="shared" si="5"/>
        <v>40</v>
      </c>
      <c r="N14" s="80">
        <f t="shared" si="6"/>
        <v>151416.47200000001</v>
      </c>
      <c r="O14" s="80">
        <v>180</v>
      </c>
    </row>
    <row r="15" spans="2:15" x14ac:dyDescent="0.3">
      <c r="B15" s="4">
        <v>2037</v>
      </c>
      <c r="C15" s="58">
        <f t="shared" ca="1" si="2"/>
        <v>295821181.31313133</v>
      </c>
      <c r="D15" s="40">
        <f t="shared" ca="1" si="1"/>
        <v>321584927.70424998</v>
      </c>
      <c r="E15" s="40">
        <f t="shared" si="7"/>
        <v>730077232.21880007</v>
      </c>
      <c r="F15" s="40">
        <f t="shared" si="0"/>
        <v>210014646.66399997</v>
      </c>
      <c r="G15" s="40">
        <f t="shared" ca="1" si="4"/>
        <v>1557497987.9001813</v>
      </c>
      <c r="I15" s="4" t="s">
        <v>55</v>
      </c>
      <c r="J15" s="4" t="s">
        <v>52</v>
      </c>
      <c r="K15" s="4">
        <v>2017</v>
      </c>
      <c r="L15" s="80">
        <v>50</v>
      </c>
      <c r="M15" s="80">
        <f t="shared" si="5"/>
        <v>40</v>
      </c>
      <c r="N15" s="80">
        <f t="shared" si="6"/>
        <v>151416.47200000001</v>
      </c>
      <c r="O15" s="80">
        <v>180</v>
      </c>
    </row>
    <row r="16" spans="2:15" x14ac:dyDescent="0.3">
      <c r="B16" s="4">
        <v>2038</v>
      </c>
      <c r="C16" s="58">
        <f t="shared" ca="1" si="2"/>
        <v>295821181.31313133</v>
      </c>
      <c r="D16" s="40">
        <f t="shared" ca="1" si="1"/>
        <v>321584927.70424998</v>
      </c>
      <c r="E16" s="40">
        <f t="shared" si="7"/>
        <v>730077232.21880007</v>
      </c>
      <c r="F16" s="40">
        <f t="shared" si="0"/>
        <v>210014646.66399997</v>
      </c>
      <c r="G16" s="40">
        <f t="shared" ca="1" si="4"/>
        <v>1557497987.9001813</v>
      </c>
      <c r="I16" s="4" t="s">
        <v>56</v>
      </c>
      <c r="J16" s="4" t="s">
        <v>52</v>
      </c>
      <c r="K16" s="4">
        <v>2027</v>
      </c>
      <c r="L16" s="80">
        <v>212</v>
      </c>
      <c r="M16" s="80">
        <f t="shared" si="5"/>
        <v>169.60000000000002</v>
      </c>
      <c r="N16" s="80">
        <f t="shared" si="6"/>
        <v>642005.84128000005</v>
      </c>
      <c r="O16" s="80" t="s">
        <v>49</v>
      </c>
    </row>
    <row r="17" spans="2:534" x14ac:dyDescent="0.3">
      <c r="B17" s="4">
        <v>2039</v>
      </c>
      <c r="C17" s="58">
        <f t="shared" ca="1" si="2"/>
        <v>295821181.31313133</v>
      </c>
      <c r="D17" s="40">
        <f t="shared" ca="1" si="1"/>
        <v>321584927.70424998</v>
      </c>
      <c r="E17" s="40">
        <f t="shared" si="7"/>
        <v>730077232.21880007</v>
      </c>
      <c r="F17" s="40">
        <f t="shared" si="0"/>
        <v>210014646.66399997</v>
      </c>
      <c r="G17" s="40">
        <f t="shared" ca="1" si="4"/>
        <v>1557497987.9001813</v>
      </c>
      <c r="I17" s="4" t="s">
        <v>51</v>
      </c>
      <c r="J17" s="4" t="s">
        <v>52</v>
      </c>
      <c r="K17" s="4">
        <v>2035</v>
      </c>
      <c r="L17" s="80">
        <v>170</v>
      </c>
      <c r="M17" s="80">
        <f t="shared" si="5"/>
        <v>136</v>
      </c>
      <c r="N17" s="80">
        <f t="shared" si="6"/>
        <v>514816.0048</v>
      </c>
      <c r="O17" s="80" t="s">
        <v>49</v>
      </c>
    </row>
    <row r="18" spans="2:534" x14ac:dyDescent="0.3">
      <c r="B18" s="4">
        <v>2040</v>
      </c>
      <c r="C18" s="58">
        <f t="shared" ca="1" si="2"/>
        <v>295821181.31313133</v>
      </c>
      <c r="D18" s="40">
        <f t="shared" ca="1" si="1"/>
        <v>321584927.70424998</v>
      </c>
      <c r="E18" s="40">
        <f t="shared" si="7"/>
        <v>730077232.21880007</v>
      </c>
      <c r="F18" s="40">
        <f t="shared" si="0"/>
        <v>210014646.66399997</v>
      </c>
      <c r="G18" s="40">
        <f t="shared" ca="1" si="4"/>
        <v>1557497987.9001813</v>
      </c>
      <c r="I18" s="4" t="s">
        <v>57</v>
      </c>
      <c r="J18" s="4" t="s">
        <v>52</v>
      </c>
      <c r="K18" s="4">
        <v>2035</v>
      </c>
      <c r="L18" s="80">
        <v>96</v>
      </c>
      <c r="M18" s="80">
        <f t="shared" si="5"/>
        <v>76.800000000000011</v>
      </c>
      <c r="N18" s="80">
        <f t="shared" si="6"/>
        <v>290719.62624000001</v>
      </c>
      <c r="O18" s="80" t="s">
        <v>49</v>
      </c>
    </row>
    <row r="19" spans="2:534" x14ac:dyDescent="0.3">
      <c r="B19" s="4">
        <v>2041</v>
      </c>
      <c r="C19" s="58">
        <f t="shared" ca="1" si="2"/>
        <v>295821181.31313133</v>
      </c>
      <c r="D19" s="40">
        <f t="shared" ca="1" si="1"/>
        <v>321584927.70424998</v>
      </c>
      <c r="E19" s="40">
        <f t="shared" si="7"/>
        <v>730077232.21880007</v>
      </c>
      <c r="F19" s="40">
        <f t="shared" si="0"/>
        <v>210014646.66399997</v>
      </c>
      <c r="G19" s="40">
        <f t="shared" ca="1" si="4"/>
        <v>1557497987.9001813</v>
      </c>
    </row>
    <row r="20" spans="2:534" x14ac:dyDescent="0.3">
      <c r="B20" s="4">
        <v>2042</v>
      </c>
      <c r="C20" s="58">
        <f t="shared" ca="1" si="2"/>
        <v>295821181.31313133</v>
      </c>
      <c r="D20" s="40">
        <f t="shared" ca="1" si="1"/>
        <v>321584927.70424998</v>
      </c>
      <c r="E20" s="40">
        <f t="shared" si="7"/>
        <v>730077232.21880007</v>
      </c>
      <c r="F20" s="40">
        <f t="shared" si="0"/>
        <v>210014646.66399997</v>
      </c>
      <c r="G20" s="40">
        <f t="shared" ca="1" si="4"/>
        <v>1557497987.9001813</v>
      </c>
    </row>
    <row r="21" spans="2:534" x14ac:dyDescent="0.3">
      <c r="B21" s="4">
        <v>2043</v>
      </c>
      <c r="C21" s="58">
        <f t="shared" ca="1" si="2"/>
        <v>295821181.31313133</v>
      </c>
      <c r="D21" s="40">
        <f t="shared" ca="1" si="1"/>
        <v>321584927.70424998</v>
      </c>
      <c r="E21" s="40">
        <f t="shared" si="7"/>
        <v>730077232.21880007</v>
      </c>
      <c r="F21" s="40">
        <f t="shared" si="0"/>
        <v>210014646.66399997</v>
      </c>
      <c r="G21" s="40">
        <f t="shared" ca="1" si="4"/>
        <v>1557497987.9001813</v>
      </c>
      <c r="I21" s="15" t="s">
        <v>58</v>
      </c>
      <c r="Q21" t="s">
        <v>59</v>
      </c>
    </row>
    <row r="22" spans="2:534" x14ac:dyDescent="0.3">
      <c r="B22" s="4">
        <v>2044</v>
      </c>
      <c r="C22" s="58">
        <f t="shared" ca="1" si="2"/>
        <v>295821181.31313133</v>
      </c>
      <c r="D22" s="40">
        <f t="shared" ca="1" si="1"/>
        <v>321584927.70424998</v>
      </c>
      <c r="E22" s="40">
        <f t="shared" si="7"/>
        <v>730077232.21880007</v>
      </c>
      <c r="F22" s="40">
        <f t="shared" si="0"/>
        <v>210014646.66399997</v>
      </c>
      <c r="G22" s="40">
        <f t="shared" ca="1" si="4"/>
        <v>1557497987.9001813</v>
      </c>
      <c r="K22" s="1"/>
    </row>
    <row r="23" spans="2:534" x14ac:dyDescent="0.3">
      <c r="B23" s="4">
        <v>2045</v>
      </c>
      <c r="C23" s="58">
        <f t="shared" ca="1" si="2"/>
        <v>295821181.31313133</v>
      </c>
      <c r="D23" s="40">
        <f t="shared" ca="1" si="1"/>
        <v>321584927.70424998</v>
      </c>
      <c r="E23" s="40">
        <f t="shared" si="7"/>
        <v>730077232.21880007</v>
      </c>
      <c r="F23" s="40">
        <f t="shared" si="0"/>
        <v>210014646.66399997</v>
      </c>
      <c r="G23" s="40">
        <f t="shared" ca="1" si="4"/>
        <v>1557497987.9001813</v>
      </c>
      <c r="I23" t="s">
        <v>60</v>
      </c>
      <c r="J23" s="1">
        <f>B3</f>
        <v>2025</v>
      </c>
      <c r="K23" t="s">
        <v>61</v>
      </c>
    </row>
    <row r="24" spans="2:534" x14ac:dyDescent="0.3">
      <c r="B24" s="4">
        <v>2046</v>
      </c>
      <c r="C24" s="58">
        <f t="shared" ca="1" si="2"/>
        <v>295821181.31313133</v>
      </c>
      <c r="D24" s="40">
        <f t="shared" ca="1" si="1"/>
        <v>321584927.70424998</v>
      </c>
      <c r="E24" s="40">
        <f t="shared" si="7"/>
        <v>730077232.21880007</v>
      </c>
      <c r="F24" s="40">
        <f t="shared" si="0"/>
        <v>210014646.66399997</v>
      </c>
      <c r="G24" s="40">
        <f t="shared" ca="1" si="4"/>
        <v>1557497987.9001813</v>
      </c>
      <c r="I24" s="43" t="s">
        <v>62</v>
      </c>
      <c r="J24" s="1">
        <f>735.7</f>
        <v>735.7</v>
      </c>
      <c r="K24" t="s">
        <v>63</v>
      </c>
    </row>
    <row r="25" spans="2:534" x14ac:dyDescent="0.3">
      <c r="B25" s="4">
        <v>2047</v>
      </c>
      <c r="C25" s="58">
        <f t="shared" ca="1" si="2"/>
        <v>295821181.31313133</v>
      </c>
      <c r="D25" s="40">
        <f t="shared" ca="1" si="1"/>
        <v>321584927.70424998</v>
      </c>
      <c r="E25" s="40">
        <f t="shared" si="7"/>
        <v>730077232.21880007</v>
      </c>
      <c r="F25" s="40">
        <f t="shared" si="0"/>
        <v>210014646.66399997</v>
      </c>
      <c r="G25" s="40">
        <f t="shared" ca="1" si="4"/>
        <v>1557497987.9001813</v>
      </c>
      <c r="I25" t="s">
        <v>64</v>
      </c>
      <c r="J25" s="44">
        <f>$J$24*2/3</f>
        <v>490.4666666666667</v>
      </c>
      <c r="K25" t="s">
        <v>65</v>
      </c>
      <c r="L25" t="s">
        <v>66</v>
      </c>
    </row>
    <row r="26" spans="2:534" x14ac:dyDescent="0.3">
      <c r="B26" s="4">
        <v>2048</v>
      </c>
      <c r="C26" s="58">
        <f t="shared" ca="1" si="2"/>
        <v>295821181.31313133</v>
      </c>
      <c r="D26" s="40">
        <f t="shared" ca="1" si="1"/>
        <v>321584927.70424998</v>
      </c>
      <c r="E26" s="40">
        <f t="shared" si="7"/>
        <v>730077232.21880007</v>
      </c>
      <c r="F26" s="40">
        <f t="shared" si="0"/>
        <v>210014646.66399997</v>
      </c>
      <c r="G26" s="40">
        <f t="shared" ca="1" si="4"/>
        <v>1557497987.9001813</v>
      </c>
      <c r="I26" t="s">
        <v>67</v>
      </c>
      <c r="J26" s="44">
        <f>AVERAGE($J$39:$BA$39)</f>
        <v>2145.3590909090904</v>
      </c>
    </row>
    <row r="27" spans="2:534" x14ac:dyDescent="0.3">
      <c r="B27" s="4">
        <v>2049</v>
      </c>
      <c r="C27" s="58">
        <f t="shared" ca="1" si="2"/>
        <v>295821181.31313133</v>
      </c>
      <c r="D27" s="40">
        <f t="shared" ca="1" si="1"/>
        <v>321584927.70424998</v>
      </c>
      <c r="E27" s="40">
        <f t="shared" si="7"/>
        <v>730077232.21880007</v>
      </c>
      <c r="F27" s="40">
        <f t="shared" si="0"/>
        <v>210014646.66399997</v>
      </c>
      <c r="G27" s="40">
        <f t="shared" ca="1" si="4"/>
        <v>1557497987.9001813</v>
      </c>
      <c r="I27" t="s">
        <v>68</v>
      </c>
      <c r="J27" s="44">
        <f>J26/1000</f>
        <v>2.1453590909090905</v>
      </c>
    </row>
    <row r="28" spans="2:534" x14ac:dyDescent="0.3">
      <c r="B28" s="4">
        <v>2050</v>
      </c>
      <c r="C28" s="58">
        <f t="shared" ca="1" si="2"/>
        <v>295821181.31313133</v>
      </c>
      <c r="D28" s="40">
        <f t="shared" ca="1" si="1"/>
        <v>321584927.70424998</v>
      </c>
      <c r="E28" s="40">
        <f t="shared" si="7"/>
        <v>730077232.21880007</v>
      </c>
      <c r="F28" s="40">
        <f t="shared" si="0"/>
        <v>210014646.66399997</v>
      </c>
      <c r="G28" s="40">
        <f t="shared" ca="1" si="4"/>
        <v>1557497987.9001813</v>
      </c>
      <c r="I28" t="s">
        <v>69</v>
      </c>
      <c r="J28" s="45">
        <f>J46</f>
        <v>0.28113814507725071</v>
      </c>
      <c r="K28" t="s">
        <v>70</v>
      </c>
      <c r="P28" t="s">
        <v>71</v>
      </c>
    </row>
    <row r="29" spans="2:534" ht="15" thickBot="1" x14ac:dyDescent="0.35">
      <c r="B29" s="4">
        <v>2051</v>
      </c>
      <c r="C29" s="58">
        <f t="shared" ca="1" si="2"/>
        <v>295821181.31313133</v>
      </c>
      <c r="D29" s="40">
        <f t="shared" ca="1" si="1"/>
        <v>321584927.70424998</v>
      </c>
      <c r="E29" s="40">
        <f t="shared" si="7"/>
        <v>730077232.21880007</v>
      </c>
      <c r="F29" s="40">
        <f t="shared" si="0"/>
        <v>210014646.66399997</v>
      </c>
      <c r="G29" s="40">
        <f t="shared" ca="1" si="4"/>
        <v>1557497987.9001813</v>
      </c>
      <c r="I29" t="s">
        <v>72</v>
      </c>
      <c r="J29" s="44">
        <f>J27*J25*J28*1000000</f>
        <v>295821181.31313133</v>
      </c>
      <c r="K29" t="s">
        <v>73</v>
      </c>
    </row>
    <row r="30" spans="2:534" ht="15" thickBot="1" x14ac:dyDescent="0.35">
      <c r="B30" s="4">
        <v>2052</v>
      </c>
      <c r="C30" s="58">
        <f t="shared" ca="1" si="2"/>
        <v>295821181.31313133</v>
      </c>
      <c r="D30" s="40">
        <f t="shared" ca="1" si="1"/>
        <v>321584927.70424998</v>
      </c>
      <c r="E30" s="40">
        <f t="shared" si="7"/>
        <v>730077232.21880007</v>
      </c>
      <c r="F30" s="40">
        <f t="shared" si="0"/>
        <v>210014646.66399997</v>
      </c>
      <c r="G30" s="40">
        <f t="shared" ca="1" si="4"/>
        <v>1557497987.9001813</v>
      </c>
      <c r="I30" s="46" t="s">
        <v>74</v>
      </c>
      <c r="J30" s="45">
        <v>0</v>
      </c>
      <c r="K30" t="s">
        <v>75</v>
      </c>
    </row>
    <row r="31" spans="2:534" x14ac:dyDescent="0.3">
      <c r="B31" s="4">
        <v>2053</v>
      </c>
      <c r="C31" s="58">
        <f t="shared" ca="1" si="2"/>
        <v>295821181.31313133</v>
      </c>
      <c r="D31" s="40">
        <f t="shared" ca="1" si="1"/>
        <v>321584927.70424998</v>
      </c>
      <c r="E31" s="40">
        <f t="shared" si="7"/>
        <v>730077232.21880007</v>
      </c>
      <c r="F31" s="40">
        <f t="shared" si="0"/>
        <v>210014646.66399997</v>
      </c>
      <c r="G31" s="40">
        <f t="shared" ca="1" si="4"/>
        <v>1557497987.9001813</v>
      </c>
      <c r="I31" t="s">
        <v>76</v>
      </c>
      <c r="J31" s="45">
        <f>_xlfn.STDEV.S(J39:BA39)/J26</f>
        <v>0.20502155091033342</v>
      </c>
      <c r="K31" t="s">
        <v>77</v>
      </c>
    </row>
    <row r="32" spans="2:534" x14ac:dyDescent="0.3">
      <c r="B32" s="4">
        <v>2054</v>
      </c>
      <c r="C32" s="58">
        <f t="shared" ca="1" si="2"/>
        <v>295821181.31313133</v>
      </c>
      <c r="D32" s="40">
        <f t="shared" ca="1" si="1"/>
        <v>321584927.70424998</v>
      </c>
      <c r="E32" s="40">
        <f t="shared" si="7"/>
        <v>730077232.21880007</v>
      </c>
      <c r="F32" s="40">
        <f t="shared" si="0"/>
        <v>210014646.66399997</v>
      </c>
      <c r="G32" s="40">
        <f t="shared" ca="1" si="4"/>
        <v>1557497987.9001813</v>
      </c>
      <c r="I32" t="s">
        <v>78</v>
      </c>
      <c r="J32" s="1">
        <v>0</v>
      </c>
      <c r="K32" t="s">
        <v>79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</row>
    <row r="33" spans="2:534" x14ac:dyDescent="0.3">
      <c r="B33" s="4">
        <v>2055</v>
      </c>
      <c r="C33" s="58">
        <f t="shared" ca="1" si="2"/>
        <v>295821181.31313133</v>
      </c>
      <c r="D33" s="40">
        <f t="shared" ca="1" si="1"/>
        <v>321584927.70424998</v>
      </c>
      <c r="E33" s="40">
        <f t="shared" si="7"/>
        <v>730077232.21880007</v>
      </c>
      <c r="F33" s="40">
        <f t="shared" si="0"/>
        <v>210014646.66399997</v>
      </c>
      <c r="G33" s="40">
        <f t="shared" ca="1" si="4"/>
        <v>1557497987.9001813</v>
      </c>
      <c r="J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</row>
    <row r="34" spans="2:534" x14ac:dyDescent="0.3">
      <c r="B34" s="4">
        <v>2056</v>
      </c>
      <c r="C34" s="58">
        <f t="shared" ca="1" si="2"/>
        <v>295821181.31313133</v>
      </c>
      <c r="D34" s="40">
        <f t="shared" ca="1" si="1"/>
        <v>321584927.70424998</v>
      </c>
      <c r="E34" s="40">
        <f t="shared" si="7"/>
        <v>730077232.21880007</v>
      </c>
      <c r="F34" s="40">
        <f t="shared" si="0"/>
        <v>210014646.66399997</v>
      </c>
      <c r="G34" s="40">
        <f t="shared" ca="1" si="4"/>
        <v>1557497987.9001813</v>
      </c>
      <c r="I34" t="s">
        <v>80</v>
      </c>
      <c r="J34" s="47">
        <f>SQRT(LN(1+$J$31^2))</f>
        <v>0.20291479812209048</v>
      </c>
    </row>
    <row r="35" spans="2:534" x14ac:dyDescent="0.3">
      <c r="B35" s="4">
        <v>2057</v>
      </c>
      <c r="C35" s="58">
        <f t="shared" ca="1" si="2"/>
        <v>295821181.31313133</v>
      </c>
      <c r="D35" s="40">
        <f t="shared" ca="1" si="1"/>
        <v>321584927.70424998</v>
      </c>
      <c r="E35" s="40">
        <f t="shared" si="7"/>
        <v>730077232.21880007</v>
      </c>
      <c r="F35" s="40">
        <f t="shared" si="0"/>
        <v>210014646.66399997</v>
      </c>
      <c r="G35" s="40">
        <f t="shared" ca="1" si="4"/>
        <v>1557497987.9001813</v>
      </c>
    </row>
    <row r="36" spans="2:534" x14ac:dyDescent="0.3">
      <c r="B36" s="4">
        <v>2058</v>
      </c>
      <c r="C36" s="58">
        <f t="shared" ca="1" si="2"/>
        <v>295821181.31313133</v>
      </c>
      <c r="D36" s="40">
        <f t="shared" ca="1" si="1"/>
        <v>321584927.70424998</v>
      </c>
      <c r="E36" s="40">
        <f t="shared" si="7"/>
        <v>730077232.21880007</v>
      </c>
      <c r="F36" s="40">
        <f t="shared" si="0"/>
        <v>210014646.66399997</v>
      </c>
      <c r="G36" s="40">
        <f t="shared" ca="1" si="4"/>
        <v>1557497987.9001813</v>
      </c>
    </row>
    <row r="37" spans="2:534" x14ac:dyDescent="0.3">
      <c r="B37" s="4">
        <v>2059</v>
      </c>
      <c r="C37" s="58">
        <f t="shared" ca="1" si="2"/>
        <v>295821181.31313133</v>
      </c>
      <c r="D37" s="40">
        <f t="shared" ca="1" si="1"/>
        <v>321584927.70424998</v>
      </c>
      <c r="E37" s="40">
        <f t="shared" si="7"/>
        <v>730077232.21880007</v>
      </c>
      <c r="F37" s="40">
        <f t="shared" si="0"/>
        <v>210014646.66399997</v>
      </c>
      <c r="G37" s="40">
        <f t="shared" ca="1" si="4"/>
        <v>1557497987.9001813</v>
      </c>
      <c r="K37" t="s">
        <v>81</v>
      </c>
    </row>
    <row r="38" spans="2:534" x14ac:dyDescent="0.3">
      <c r="B38" s="4">
        <v>2060</v>
      </c>
      <c r="C38" s="58">
        <f t="shared" ca="1" si="2"/>
        <v>295821181.31313133</v>
      </c>
      <c r="D38" s="40">
        <f t="shared" ca="1" si="1"/>
        <v>321584927.70424998</v>
      </c>
      <c r="E38" s="40">
        <f t="shared" si="7"/>
        <v>730077232.21880007</v>
      </c>
      <c r="F38" s="40">
        <f t="shared" si="0"/>
        <v>210014646.66399997</v>
      </c>
      <c r="G38" s="40">
        <f t="shared" ca="1" si="4"/>
        <v>1557497987.9001813</v>
      </c>
      <c r="I38" s="27" t="str" cm="1">
        <f t="array" ref="I38:BA39">TRANSPOSE(RainfallMonthlyTotal!G1:H45)</f>
        <v>Year</v>
      </c>
      <c r="J38" s="4">
        <v>1982</v>
      </c>
      <c r="K38" s="4">
        <v>1983</v>
      </c>
      <c r="L38" s="4">
        <v>1984</v>
      </c>
      <c r="M38" s="4">
        <v>1985</v>
      </c>
      <c r="N38" s="4">
        <v>1986</v>
      </c>
      <c r="O38" s="4">
        <v>1987</v>
      </c>
      <c r="P38" s="4">
        <v>1988</v>
      </c>
      <c r="Q38" s="4">
        <v>1989</v>
      </c>
      <c r="R38" s="4">
        <v>1990</v>
      </c>
      <c r="S38" s="4">
        <v>1991</v>
      </c>
      <c r="T38" s="4">
        <v>1992</v>
      </c>
      <c r="U38" s="4">
        <v>1993</v>
      </c>
      <c r="V38" s="4">
        <v>1994</v>
      </c>
      <c r="W38" s="4">
        <v>1995</v>
      </c>
      <c r="X38" s="4">
        <v>1996</v>
      </c>
      <c r="Y38" s="4">
        <v>1997</v>
      </c>
      <c r="Z38" s="4">
        <v>1998</v>
      </c>
      <c r="AA38" s="4">
        <v>1999</v>
      </c>
      <c r="AB38" s="4">
        <v>2000</v>
      </c>
      <c r="AC38" s="4">
        <v>2001</v>
      </c>
      <c r="AD38" s="4">
        <v>2002</v>
      </c>
      <c r="AE38" s="4">
        <v>2003</v>
      </c>
      <c r="AF38" s="4">
        <v>2004</v>
      </c>
      <c r="AG38" s="4">
        <v>2005</v>
      </c>
      <c r="AH38" s="4">
        <v>2006</v>
      </c>
      <c r="AI38" s="4">
        <v>2007</v>
      </c>
      <c r="AJ38" s="4">
        <v>2008</v>
      </c>
      <c r="AK38" s="4">
        <v>2009</v>
      </c>
      <c r="AL38" s="4">
        <v>2010</v>
      </c>
      <c r="AM38" s="4">
        <v>2011</v>
      </c>
      <c r="AN38" s="4">
        <v>2012</v>
      </c>
      <c r="AO38" s="4">
        <v>2013</v>
      </c>
      <c r="AP38" s="4">
        <v>2014</v>
      </c>
      <c r="AQ38" s="4">
        <v>2015</v>
      </c>
      <c r="AR38" s="4">
        <v>2016</v>
      </c>
      <c r="AS38" s="4">
        <v>2017</v>
      </c>
      <c r="AT38" s="4">
        <v>2018</v>
      </c>
      <c r="AU38" s="4">
        <v>2019</v>
      </c>
      <c r="AV38" s="4">
        <v>2020</v>
      </c>
      <c r="AW38" s="4">
        <v>2021</v>
      </c>
      <c r="AX38" s="4">
        <v>2022</v>
      </c>
      <c r="AY38" s="4">
        <v>2023</v>
      </c>
      <c r="AZ38" s="4">
        <v>2024</v>
      </c>
      <c r="BA38" s="4">
        <v>2025</v>
      </c>
    </row>
    <row r="39" spans="2:534" x14ac:dyDescent="0.3">
      <c r="I39" s="27" t="str">
        <v>Annual Rainfall (mm)</v>
      </c>
      <c r="J39" s="4">
        <v>1581.6999999999998</v>
      </c>
      <c r="K39" s="4">
        <v>1993.6999999999998</v>
      </c>
      <c r="L39" s="4">
        <v>2686.7</v>
      </c>
      <c r="M39" s="4">
        <v>1483.9</v>
      </c>
      <c r="N39" s="4">
        <v>2536.1</v>
      </c>
      <c r="O39" s="4">
        <v>2102.8000000000002</v>
      </c>
      <c r="P39" s="4">
        <v>2598.6000000000004</v>
      </c>
      <c r="Q39" s="4">
        <v>2463.1999999999998</v>
      </c>
      <c r="R39" s="4">
        <v>1523.8000000000002</v>
      </c>
      <c r="S39" s="4">
        <v>1876.9999999999998</v>
      </c>
      <c r="T39" s="4">
        <v>2260.8000000000002</v>
      </c>
      <c r="U39" s="4">
        <v>2168.6999999999998</v>
      </c>
      <c r="V39" s="4">
        <v>1941.8000000000002</v>
      </c>
      <c r="W39" s="4">
        <v>2332.6</v>
      </c>
      <c r="X39" s="4">
        <v>2417.9999999999995</v>
      </c>
      <c r="Y39" s="4">
        <v>1118.9000000000001</v>
      </c>
      <c r="Z39" s="4">
        <v>2623.1</v>
      </c>
      <c r="AA39" s="4">
        <v>2134</v>
      </c>
      <c r="AB39" s="4">
        <v>2370.5</v>
      </c>
      <c r="AC39" s="4">
        <v>2783.1</v>
      </c>
      <c r="AD39" s="4">
        <v>1748.9</v>
      </c>
      <c r="AE39" s="4">
        <v>2391.2000000000003</v>
      </c>
      <c r="AF39" s="4">
        <v>2136.4</v>
      </c>
      <c r="AG39" s="4">
        <v>1930.6999999999998</v>
      </c>
      <c r="AH39" s="4">
        <v>2753.2</v>
      </c>
      <c r="AI39" s="4">
        <v>2886.2000000000003</v>
      </c>
      <c r="AJ39" s="4">
        <v>2325.1</v>
      </c>
      <c r="AK39" s="4">
        <v>1920.8999999999999</v>
      </c>
      <c r="AL39" s="4">
        <v>2075.1</v>
      </c>
      <c r="AM39" s="4">
        <v>2524.2000000000003</v>
      </c>
      <c r="AN39" s="4">
        <v>2159.9</v>
      </c>
      <c r="AO39" s="4">
        <v>2748.3999999999996</v>
      </c>
      <c r="AP39" s="4">
        <v>1538.3999999999999</v>
      </c>
      <c r="AQ39" s="4">
        <v>1267.1000000000001</v>
      </c>
      <c r="AR39" s="4">
        <v>1955.7000000000003</v>
      </c>
      <c r="AS39" s="4">
        <v>2045.6000000000001</v>
      </c>
      <c r="AT39" s="4">
        <v>1708.1999999999998</v>
      </c>
      <c r="AU39" s="4">
        <v>1367.5</v>
      </c>
      <c r="AV39" s="4">
        <v>1886.6</v>
      </c>
      <c r="AW39" s="4">
        <v>2809.6</v>
      </c>
      <c r="AX39" s="4">
        <v>2207.2000000000003</v>
      </c>
      <c r="AY39" s="4">
        <v>2411.1999999999998</v>
      </c>
      <c r="AZ39" s="4">
        <v>2432</v>
      </c>
      <c r="BA39" s="4">
        <v>2167.5</v>
      </c>
    </row>
    <row r="42" spans="2:534" x14ac:dyDescent="0.3">
      <c r="I42" s="48" t="s">
        <v>82</v>
      </c>
      <c r="J42" s="4">
        <f>2400/1000</f>
        <v>2.4</v>
      </c>
    </row>
    <row r="43" spans="2:534" x14ac:dyDescent="0.3">
      <c r="I43" s="48" t="s">
        <v>83</v>
      </c>
      <c r="J43" s="4">
        <f>680000</f>
        <v>680000</v>
      </c>
    </row>
    <row r="44" spans="2:534" x14ac:dyDescent="0.3">
      <c r="I44" s="48" t="s">
        <v>84</v>
      </c>
      <c r="J44" s="4">
        <f>J43*365</f>
        <v>248200000</v>
      </c>
    </row>
    <row r="45" spans="2:534" x14ac:dyDescent="0.3">
      <c r="I45" s="48" t="s">
        <v>85</v>
      </c>
      <c r="J45" s="4">
        <f>J24/2</f>
        <v>367.85</v>
      </c>
    </row>
    <row r="46" spans="2:534" x14ac:dyDescent="0.3">
      <c r="I46" s="48" t="s">
        <v>69</v>
      </c>
      <c r="J46" s="49">
        <f>J44 / (J42*J45*1000000)</f>
        <v>0.28113814507725071</v>
      </c>
    </row>
    <row r="49" spans="9:11" x14ac:dyDescent="0.3">
      <c r="I49" s="15" t="s">
        <v>86</v>
      </c>
    </row>
    <row r="50" spans="9:11" x14ac:dyDescent="0.3">
      <c r="I50" t="s">
        <v>87</v>
      </c>
      <c r="J50" s="1">
        <v>250</v>
      </c>
      <c r="K50" t="s">
        <v>88</v>
      </c>
    </row>
    <row r="51" spans="9:11" x14ac:dyDescent="0.3">
      <c r="I51" t="s">
        <v>89</v>
      </c>
      <c r="J51" s="1">
        <f>0.95</f>
        <v>0.95</v>
      </c>
      <c r="K51" t="s">
        <v>90</v>
      </c>
    </row>
    <row r="52" spans="9:11" x14ac:dyDescent="0.3">
      <c r="I52" t="s">
        <v>91</v>
      </c>
      <c r="J52" s="1">
        <f>1-J51</f>
        <v>5.0000000000000044E-2</v>
      </c>
      <c r="K52" t="s">
        <v>92</v>
      </c>
    </row>
    <row r="53" spans="9:11" x14ac:dyDescent="0.3">
      <c r="I53" t="s">
        <v>93</v>
      </c>
      <c r="J53" s="1">
        <f>0.4</f>
        <v>0.4</v>
      </c>
      <c r="K53" t="s">
        <v>94</v>
      </c>
    </row>
    <row r="54" spans="9:11" x14ac:dyDescent="0.3">
      <c r="I54" t="s">
        <v>95</v>
      </c>
      <c r="J54" s="1">
        <v>2061</v>
      </c>
    </row>
    <row r="55" spans="9:11" ht="15" thickBot="1" x14ac:dyDescent="0.35">
      <c r="I55" t="s">
        <v>96</v>
      </c>
      <c r="J55" s="1">
        <f>$J$51 * (1 - $J$52 * $J$53)</f>
        <v>0.93099999999999994</v>
      </c>
    </row>
    <row r="56" spans="9:11" ht="15" thickBot="1" x14ac:dyDescent="0.35">
      <c r="I56" s="46" t="s">
        <v>97</v>
      </c>
      <c r="J56" s="1">
        <v>0</v>
      </c>
      <c r="K56" t="s">
        <v>98</v>
      </c>
    </row>
    <row r="57" spans="9:11" x14ac:dyDescent="0.3">
      <c r="K57" t="s">
        <v>99</v>
      </c>
    </row>
    <row r="58" spans="9:11" x14ac:dyDescent="0.3">
      <c r="K58" s="15"/>
    </row>
  </sheetData>
  <dataValidations count="2">
    <dataValidation type="list" allowBlank="1" showInputMessage="1" showErrorMessage="1" sqref="J56" xr:uid="{B31E8781-2351-4E5E-98B6-EDBE8D7BD17D}">
      <formula1>"0,1"</formula1>
    </dataValidation>
    <dataValidation type="list" allowBlank="1" showInputMessage="1" showErrorMessage="1" sqref="J30" xr:uid="{BF4F02A2-1F8C-415D-BCA2-695A524E8434}">
      <formula1>"0%,-0.25%,-0.5%,-1% 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AB38-A471-4A66-B1EC-8EFE6813CA20}">
  <dimension ref="A1:K526"/>
  <sheetViews>
    <sheetView zoomScale="60" workbookViewId="0">
      <selection activeCell="K12" sqref="K12"/>
    </sheetView>
  </sheetViews>
  <sheetFormatPr defaultColWidth="10.88671875" defaultRowHeight="15.6" x14ac:dyDescent="0.3"/>
  <cols>
    <col min="1" max="1" width="10.88671875" style="53"/>
    <col min="2" max="2" width="28" style="53" customWidth="1"/>
    <col min="3" max="3" width="6.6640625" style="52" customWidth="1"/>
    <col min="4" max="4" width="10.44140625" style="53" customWidth="1"/>
    <col min="5" max="5" width="19.6640625" style="53" customWidth="1"/>
    <col min="6" max="6" width="6.6640625" style="52" customWidth="1"/>
    <col min="7" max="7" width="10.88671875" style="50"/>
    <col min="8" max="8" width="20.33203125" style="51" customWidth="1"/>
    <col min="9" max="16384" width="10.88671875" style="50"/>
  </cols>
  <sheetData>
    <row r="1" spans="1:11" s="54" customFormat="1" x14ac:dyDescent="0.3">
      <c r="A1" s="56" t="s">
        <v>100</v>
      </c>
      <c r="B1" s="56" t="s">
        <v>101</v>
      </c>
      <c r="C1" s="57"/>
      <c r="D1" s="56" t="s">
        <v>0</v>
      </c>
      <c r="E1" s="56" t="s">
        <v>102</v>
      </c>
      <c r="F1" s="57"/>
      <c r="G1" s="56" t="s">
        <v>0</v>
      </c>
      <c r="H1" s="55" t="s">
        <v>102</v>
      </c>
      <c r="K1" s="54" t="s">
        <v>103</v>
      </c>
    </row>
    <row r="2" spans="1:11" x14ac:dyDescent="0.3">
      <c r="A2" s="53" t="s">
        <v>104</v>
      </c>
      <c r="B2" s="53">
        <v>107.1</v>
      </c>
      <c r="D2" s="53">
        <f t="shared" ref="D2:D65" si="0">YEAR(DATEVALUE(A2 &amp; "-01"))</f>
        <v>1982</v>
      </c>
      <c r="E2" s="53">
        <f t="shared" ref="E2:E65" si="1">SUMIFS($B:$B,$D:$D,D2)</f>
        <v>1581.6999999999998</v>
      </c>
      <c r="G2" s="50" cm="1">
        <f t="array" ref="G2:G45">_xlfn.UNIQUE(D2:D526)</f>
        <v>1982</v>
      </c>
      <c r="H2" s="51">
        <f t="shared" ref="H2:H45" si="2">_xlfn.XLOOKUP(G2,$D$2:$D$526,$E$2:$E$526)</f>
        <v>1581.6999999999998</v>
      </c>
      <c r="K2" s="50" t="s">
        <v>105</v>
      </c>
    </row>
    <row r="3" spans="1:11" x14ac:dyDescent="0.3">
      <c r="A3" s="53" t="s">
        <v>106</v>
      </c>
      <c r="B3" s="53">
        <v>27.8</v>
      </c>
      <c r="D3" s="53">
        <f t="shared" si="0"/>
        <v>1982</v>
      </c>
      <c r="E3" s="53">
        <f t="shared" si="1"/>
        <v>1581.6999999999998</v>
      </c>
      <c r="G3" s="50">
        <v>1983</v>
      </c>
      <c r="H3" s="51">
        <f t="shared" si="2"/>
        <v>1993.6999999999998</v>
      </c>
    </row>
    <row r="4" spans="1:11" x14ac:dyDescent="0.3">
      <c r="A4" s="53" t="s">
        <v>107</v>
      </c>
      <c r="B4" s="53">
        <v>160.80000000000001</v>
      </c>
      <c r="D4" s="53">
        <f t="shared" si="0"/>
        <v>1982</v>
      </c>
      <c r="E4" s="53">
        <f t="shared" si="1"/>
        <v>1581.6999999999998</v>
      </c>
      <c r="G4" s="50">
        <v>1984</v>
      </c>
      <c r="H4" s="51">
        <f t="shared" si="2"/>
        <v>2686.7</v>
      </c>
    </row>
    <row r="5" spans="1:11" x14ac:dyDescent="0.3">
      <c r="A5" s="53" t="s">
        <v>108</v>
      </c>
      <c r="B5" s="53">
        <v>157</v>
      </c>
      <c r="D5" s="53">
        <f t="shared" si="0"/>
        <v>1982</v>
      </c>
      <c r="E5" s="53">
        <f t="shared" si="1"/>
        <v>1581.6999999999998</v>
      </c>
      <c r="G5" s="50">
        <v>1985</v>
      </c>
      <c r="H5" s="51">
        <f t="shared" si="2"/>
        <v>1483.9</v>
      </c>
    </row>
    <row r="6" spans="1:11" x14ac:dyDescent="0.3">
      <c r="A6" s="53" t="s">
        <v>109</v>
      </c>
      <c r="B6" s="53">
        <v>102.2</v>
      </c>
      <c r="D6" s="53">
        <f t="shared" si="0"/>
        <v>1982</v>
      </c>
      <c r="E6" s="53">
        <f t="shared" si="1"/>
        <v>1581.6999999999998</v>
      </c>
      <c r="G6" s="50">
        <v>1986</v>
      </c>
      <c r="H6" s="51">
        <f t="shared" si="2"/>
        <v>2536.1</v>
      </c>
    </row>
    <row r="7" spans="1:11" x14ac:dyDescent="0.3">
      <c r="A7" s="53" t="s">
        <v>110</v>
      </c>
      <c r="B7" s="53">
        <v>59.5</v>
      </c>
      <c r="D7" s="53">
        <f t="shared" si="0"/>
        <v>1982</v>
      </c>
      <c r="E7" s="53">
        <f t="shared" si="1"/>
        <v>1581.6999999999998</v>
      </c>
      <c r="G7" s="50">
        <v>1987</v>
      </c>
      <c r="H7" s="51">
        <f t="shared" si="2"/>
        <v>2102.8000000000002</v>
      </c>
    </row>
    <row r="8" spans="1:11" x14ac:dyDescent="0.3">
      <c r="A8" s="53" t="s">
        <v>111</v>
      </c>
      <c r="B8" s="53">
        <v>76.3</v>
      </c>
      <c r="D8" s="53">
        <f t="shared" si="0"/>
        <v>1982</v>
      </c>
      <c r="E8" s="53">
        <f t="shared" si="1"/>
        <v>1581.6999999999998</v>
      </c>
      <c r="G8" s="50">
        <v>1988</v>
      </c>
      <c r="H8" s="51">
        <f t="shared" si="2"/>
        <v>2598.6000000000004</v>
      </c>
    </row>
    <row r="9" spans="1:11" x14ac:dyDescent="0.3">
      <c r="A9" s="53" t="s">
        <v>112</v>
      </c>
      <c r="B9" s="53">
        <v>169.5</v>
      </c>
      <c r="D9" s="53">
        <f t="shared" si="0"/>
        <v>1982</v>
      </c>
      <c r="E9" s="53">
        <f t="shared" si="1"/>
        <v>1581.6999999999998</v>
      </c>
      <c r="G9" s="50">
        <v>1989</v>
      </c>
      <c r="H9" s="51">
        <f t="shared" si="2"/>
        <v>2463.1999999999998</v>
      </c>
    </row>
    <row r="10" spans="1:11" x14ac:dyDescent="0.3">
      <c r="A10" s="53" t="s">
        <v>113</v>
      </c>
      <c r="B10" s="53">
        <v>54.1</v>
      </c>
      <c r="D10" s="53">
        <f t="shared" si="0"/>
        <v>1982</v>
      </c>
      <c r="E10" s="53">
        <f t="shared" si="1"/>
        <v>1581.6999999999998</v>
      </c>
      <c r="G10" s="50">
        <v>1990</v>
      </c>
      <c r="H10" s="51">
        <f t="shared" si="2"/>
        <v>1523.8000000000002</v>
      </c>
    </row>
    <row r="11" spans="1:11" x14ac:dyDescent="0.3">
      <c r="A11" s="53" t="s">
        <v>114</v>
      </c>
      <c r="B11" s="53">
        <v>39.299999999999997</v>
      </c>
      <c r="D11" s="53">
        <f t="shared" si="0"/>
        <v>1982</v>
      </c>
      <c r="E11" s="53">
        <f t="shared" si="1"/>
        <v>1581.6999999999998</v>
      </c>
      <c r="G11" s="50">
        <v>1991</v>
      </c>
      <c r="H11" s="51">
        <f t="shared" si="2"/>
        <v>1876.9999999999998</v>
      </c>
    </row>
    <row r="12" spans="1:11" x14ac:dyDescent="0.3">
      <c r="A12" s="53" t="s">
        <v>115</v>
      </c>
      <c r="B12" s="53">
        <v>134</v>
      </c>
      <c r="D12" s="53">
        <f t="shared" si="0"/>
        <v>1982</v>
      </c>
      <c r="E12" s="53">
        <f t="shared" si="1"/>
        <v>1581.6999999999998</v>
      </c>
      <c r="G12" s="50">
        <v>1992</v>
      </c>
      <c r="H12" s="51">
        <f t="shared" si="2"/>
        <v>2260.8000000000002</v>
      </c>
    </row>
    <row r="13" spans="1:11" x14ac:dyDescent="0.3">
      <c r="A13" s="53" t="s">
        <v>116</v>
      </c>
      <c r="B13" s="53">
        <v>494.1</v>
      </c>
      <c r="D13" s="53">
        <f t="shared" si="0"/>
        <v>1982</v>
      </c>
      <c r="E13" s="53">
        <f t="shared" si="1"/>
        <v>1581.6999999999998</v>
      </c>
      <c r="G13" s="50">
        <v>1993</v>
      </c>
      <c r="H13" s="51">
        <f t="shared" si="2"/>
        <v>2168.6999999999998</v>
      </c>
    </row>
    <row r="14" spans="1:11" x14ac:dyDescent="0.3">
      <c r="A14" s="53" t="s">
        <v>117</v>
      </c>
      <c r="B14" s="53">
        <v>246</v>
      </c>
      <c r="D14" s="53">
        <f t="shared" si="0"/>
        <v>1983</v>
      </c>
      <c r="E14" s="53">
        <f t="shared" si="1"/>
        <v>1993.6999999999998</v>
      </c>
      <c r="G14" s="50">
        <v>1994</v>
      </c>
      <c r="H14" s="51">
        <f t="shared" si="2"/>
        <v>1941.8000000000002</v>
      </c>
    </row>
    <row r="15" spans="1:11" x14ac:dyDescent="0.3">
      <c r="A15" s="53" t="s">
        <v>118</v>
      </c>
      <c r="B15" s="53">
        <v>5.6</v>
      </c>
      <c r="D15" s="53">
        <f t="shared" si="0"/>
        <v>1983</v>
      </c>
      <c r="E15" s="53">
        <f t="shared" si="1"/>
        <v>1993.6999999999998</v>
      </c>
      <c r="G15" s="50">
        <v>1995</v>
      </c>
      <c r="H15" s="51">
        <f t="shared" si="2"/>
        <v>2332.6</v>
      </c>
    </row>
    <row r="16" spans="1:11" x14ac:dyDescent="0.3">
      <c r="A16" s="53" t="s">
        <v>119</v>
      </c>
      <c r="B16" s="53">
        <v>18.600000000000001</v>
      </c>
      <c r="D16" s="53">
        <f t="shared" si="0"/>
        <v>1983</v>
      </c>
      <c r="E16" s="53">
        <f t="shared" si="1"/>
        <v>1993.6999999999998</v>
      </c>
      <c r="G16" s="50">
        <v>1996</v>
      </c>
      <c r="H16" s="51">
        <f t="shared" si="2"/>
        <v>2417.9999999999995</v>
      </c>
    </row>
    <row r="17" spans="1:8" x14ac:dyDescent="0.3">
      <c r="A17" s="53" t="s">
        <v>120</v>
      </c>
      <c r="B17" s="53">
        <v>33.6</v>
      </c>
      <c r="D17" s="53">
        <f t="shared" si="0"/>
        <v>1983</v>
      </c>
      <c r="E17" s="53">
        <f t="shared" si="1"/>
        <v>1993.6999999999998</v>
      </c>
      <c r="G17" s="50">
        <v>1997</v>
      </c>
      <c r="H17" s="51">
        <f t="shared" si="2"/>
        <v>1118.9000000000001</v>
      </c>
    </row>
    <row r="18" spans="1:8" x14ac:dyDescent="0.3">
      <c r="A18" s="53" t="s">
        <v>121</v>
      </c>
      <c r="B18" s="53">
        <v>160.80000000000001</v>
      </c>
      <c r="D18" s="53">
        <f t="shared" si="0"/>
        <v>1983</v>
      </c>
      <c r="E18" s="53">
        <f t="shared" si="1"/>
        <v>1993.6999999999998</v>
      </c>
      <c r="G18" s="50">
        <v>1998</v>
      </c>
      <c r="H18" s="51">
        <f t="shared" si="2"/>
        <v>2623.1</v>
      </c>
    </row>
    <row r="19" spans="1:8" x14ac:dyDescent="0.3">
      <c r="A19" s="53" t="s">
        <v>122</v>
      </c>
      <c r="B19" s="53">
        <v>94</v>
      </c>
      <c r="D19" s="53">
        <f t="shared" si="0"/>
        <v>1983</v>
      </c>
      <c r="E19" s="53">
        <f t="shared" si="1"/>
        <v>1993.6999999999998</v>
      </c>
      <c r="G19" s="50">
        <v>1999</v>
      </c>
      <c r="H19" s="51">
        <f t="shared" si="2"/>
        <v>2134</v>
      </c>
    </row>
    <row r="20" spans="1:8" x14ac:dyDescent="0.3">
      <c r="A20" s="53" t="s">
        <v>123</v>
      </c>
      <c r="B20" s="53">
        <v>190</v>
      </c>
      <c r="D20" s="53">
        <f t="shared" si="0"/>
        <v>1983</v>
      </c>
      <c r="E20" s="53">
        <f t="shared" si="1"/>
        <v>1993.6999999999998</v>
      </c>
      <c r="G20" s="50">
        <v>2000</v>
      </c>
      <c r="H20" s="51">
        <f t="shared" si="2"/>
        <v>2370.5</v>
      </c>
    </row>
    <row r="21" spans="1:8" x14ac:dyDescent="0.3">
      <c r="A21" s="53" t="s">
        <v>124</v>
      </c>
      <c r="B21" s="53">
        <v>262.2</v>
      </c>
      <c r="D21" s="53">
        <f t="shared" si="0"/>
        <v>1983</v>
      </c>
      <c r="E21" s="53">
        <f t="shared" si="1"/>
        <v>1993.6999999999998</v>
      </c>
      <c r="G21" s="50">
        <v>2001</v>
      </c>
      <c r="H21" s="51">
        <f t="shared" si="2"/>
        <v>2783.1</v>
      </c>
    </row>
    <row r="22" spans="1:8" x14ac:dyDescent="0.3">
      <c r="A22" s="53" t="s">
        <v>125</v>
      </c>
      <c r="B22" s="53">
        <v>170.8</v>
      </c>
      <c r="D22" s="53">
        <f t="shared" si="0"/>
        <v>1983</v>
      </c>
      <c r="E22" s="53">
        <f t="shared" si="1"/>
        <v>1993.6999999999998</v>
      </c>
      <c r="G22" s="50">
        <v>2002</v>
      </c>
      <c r="H22" s="51">
        <f t="shared" si="2"/>
        <v>1748.9</v>
      </c>
    </row>
    <row r="23" spans="1:8" x14ac:dyDescent="0.3">
      <c r="A23" s="53" t="s">
        <v>126</v>
      </c>
      <c r="B23" s="53">
        <v>212.7</v>
      </c>
      <c r="D23" s="53">
        <f t="shared" si="0"/>
        <v>1983</v>
      </c>
      <c r="E23" s="53">
        <f t="shared" si="1"/>
        <v>1993.6999999999998</v>
      </c>
      <c r="G23" s="50">
        <v>2003</v>
      </c>
      <c r="H23" s="51">
        <f t="shared" si="2"/>
        <v>2391.2000000000003</v>
      </c>
    </row>
    <row r="24" spans="1:8" x14ac:dyDescent="0.3">
      <c r="A24" s="53" t="s">
        <v>127</v>
      </c>
      <c r="B24" s="53">
        <v>228.8</v>
      </c>
      <c r="D24" s="53">
        <f t="shared" si="0"/>
        <v>1983</v>
      </c>
      <c r="E24" s="53">
        <f t="shared" si="1"/>
        <v>1993.6999999999998</v>
      </c>
      <c r="G24" s="50">
        <v>2004</v>
      </c>
      <c r="H24" s="51">
        <f t="shared" si="2"/>
        <v>2136.4</v>
      </c>
    </row>
    <row r="25" spans="1:8" x14ac:dyDescent="0.3">
      <c r="A25" s="53" t="s">
        <v>128</v>
      </c>
      <c r="B25" s="53">
        <v>370.6</v>
      </c>
      <c r="D25" s="53">
        <f t="shared" si="0"/>
        <v>1983</v>
      </c>
      <c r="E25" s="53">
        <f t="shared" si="1"/>
        <v>1993.6999999999998</v>
      </c>
      <c r="G25" s="50">
        <v>2005</v>
      </c>
      <c r="H25" s="51">
        <f t="shared" si="2"/>
        <v>1930.6999999999998</v>
      </c>
    </row>
    <row r="26" spans="1:8" x14ac:dyDescent="0.3">
      <c r="A26" s="53" t="s">
        <v>129</v>
      </c>
      <c r="B26" s="53">
        <v>251.2</v>
      </c>
      <c r="D26" s="53">
        <f t="shared" si="0"/>
        <v>1984</v>
      </c>
      <c r="E26" s="53">
        <f t="shared" si="1"/>
        <v>2686.7</v>
      </c>
      <c r="G26" s="50">
        <v>2006</v>
      </c>
      <c r="H26" s="51">
        <f t="shared" si="2"/>
        <v>2753.2</v>
      </c>
    </row>
    <row r="27" spans="1:8" x14ac:dyDescent="0.3">
      <c r="A27" s="53" t="s">
        <v>130</v>
      </c>
      <c r="B27" s="53">
        <v>470.4</v>
      </c>
      <c r="D27" s="53">
        <f t="shared" si="0"/>
        <v>1984</v>
      </c>
      <c r="E27" s="53">
        <f t="shared" si="1"/>
        <v>2686.7</v>
      </c>
      <c r="G27" s="50">
        <v>2007</v>
      </c>
      <c r="H27" s="51">
        <f t="shared" si="2"/>
        <v>2886.2000000000003</v>
      </c>
    </row>
    <row r="28" spans="1:8" x14ac:dyDescent="0.3">
      <c r="A28" s="53" t="s">
        <v>131</v>
      </c>
      <c r="B28" s="53">
        <v>361.3</v>
      </c>
      <c r="D28" s="53">
        <f t="shared" si="0"/>
        <v>1984</v>
      </c>
      <c r="E28" s="53">
        <f t="shared" si="1"/>
        <v>2686.7</v>
      </c>
      <c r="G28" s="50">
        <v>2008</v>
      </c>
      <c r="H28" s="51">
        <f t="shared" si="2"/>
        <v>2325.1</v>
      </c>
    </row>
    <row r="29" spans="1:8" x14ac:dyDescent="0.3">
      <c r="A29" s="53" t="s">
        <v>132</v>
      </c>
      <c r="B29" s="53">
        <v>153.1</v>
      </c>
      <c r="D29" s="53">
        <f t="shared" si="0"/>
        <v>1984</v>
      </c>
      <c r="E29" s="53">
        <f t="shared" si="1"/>
        <v>2686.7</v>
      </c>
      <c r="G29" s="50">
        <v>2009</v>
      </c>
      <c r="H29" s="51">
        <f t="shared" si="2"/>
        <v>1920.8999999999999</v>
      </c>
    </row>
    <row r="30" spans="1:8" x14ac:dyDescent="0.3">
      <c r="A30" s="53" t="s">
        <v>133</v>
      </c>
      <c r="B30" s="53">
        <v>186.5</v>
      </c>
      <c r="D30" s="53">
        <f t="shared" si="0"/>
        <v>1984</v>
      </c>
      <c r="E30" s="53">
        <f t="shared" si="1"/>
        <v>2686.7</v>
      </c>
      <c r="G30" s="50">
        <v>2010</v>
      </c>
      <c r="H30" s="51">
        <f t="shared" si="2"/>
        <v>2075.1</v>
      </c>
    </row>
    <row r="31" spans="1:8" x14ac:dyDescent="0.3">
      <c r="A31" s="53" t="s">
        <v>134</v>
      </c>
      <c r="B31" s="53">
        <v>255</v>
      </c>
      <c r="D31" s="53">
        <f t="shared" si="0"/>
        <v>1984</v>
      </c>
      <c r="E31" s="53">
        <f t="shared" si="1"/>
        <v>2686.7</v>
      </c>
      <c r="G31" s="50">
        <v>2011</v>
      </c>
      <c r="H31" s="51">
        <f t="shared" si="2"/>
        <v>2524.2000000000003</v>
      </c>
    </row>
    <row r="32" spans="1:8" x14ac:dyDescent="0.3">
      <c r="A32" s="53" t="s">
        <v>135</v>
      </c>
      <c r="B32" s="53">
        <v>127.2</v>
      </c>
      <c r="D32" s="53">
        <f t="shared" si="0"/>
        <v>1984</v>
      </c>
      <c r="E32" s="53">
        <f t="shared" si="1"/>
        <v>2686.7</v>
      </c>
      <c r="G32" s="50">
        <v>2012</v>
      </c>
      <c r="H32" s="51">
        <f t="shared" si="2"/>
        <v>2159.9</v>
      </c>
    </row>
    <row r="33" spans="1:8" x14ac:dyDescent="0.3">
      <c r="A33" s="53" t="s">
        <v>136</v>
      </c>
      <c r="B33" s="53">
        <v>102.7</v>
      </c>
      <c r="D33" s="53">
        <f t="shared" si="0"/>
        <v>1984</v>
      </c>
      <c r="E33" s="53">
        <f t="shared" si="1"/>
        <v>2686.7</v>
      </c>
      <c r="G33" s="50">
        <v>2013</v>
      </c>
      <c r="H33" s="51">
        <f t="shared" si="2"/>
        <v>2748.3999999999996</v>
      </c>
    </row>
    <row r="34" spans="1:8" x14ac:dyDescent="0.3">
      <c r="A34" s="53" t="s">
        <v>137</v>
      </c>
      <c r="B34" s="53">
        <v>186.7</v>
      </c>
      <c r="D34" s="53">
        <f t="shared" si="0"/>
        <v>1984</v>
      </c>
      <c r="E34" s="53">
        <f t="shared" si="1"/>
        <v>2686.7</v>
      </c>
      <c r="G34" s="50">
        <v>2014</v>
      </c>
      <c r="H34" s="51">
        <f t="shared" si="2"/>
        <v>1538.3999999999999</v>
      </c>
    </row>
    <row r="35" spans="1:8" x14ac:dyDescent="0.3">
      <c r="A35" s="53" t="s">
        <v>138</v>
      </c>
      <c r="B35" s="53">
        <v>187.5</v>
      </c>
      <c r="D35" s="53">
        <f t="shared" si="0"/>
        <v>1984</v>
      </c>
      <c r="E35" s="53">
        <f t="shared" si="1"/>
        <v>2686.7</v>
      </c>
      <c r="G35" s="50">
        <v>2015</v>
      </c>
      <c r="H35" s="51">
        <f t="shared" si="2"/>
        <v>1267.1000000000001</v>
      </c>
    </row>
    <row r="36" spans="1:8" x14ac:dyDescent="0.3">
      <c r="A36" s="53" t="s">
        <v>139</v>
      </c>
      <c r="B36" s="53">
        <v>127.7</v>
      </c>
      <c r="D36" s="53">
        <f t="shared" si="0"/>
        <v>1984</v>
      </c>
      <c r="E36" s="53">
        <f t="shared" si="1"/>
        <v>2686.7</v>
      </c>
      <c r="G36" s="50">
        <v>2016</v>
      </c>
      <c r="H36" s="51">
        <f t="shared" si="2"/>
        <v>1955.7000000000003</v>
      </c>
    </row>
    <row r="37" spans="1:8" x14ac:dyDescent="0.3">
      <c r="A37" s="53" t="s">
        <v>140</v>
      </c>
      <c r="B37" s="53">
        <v>277.39999999999998</v>
      </c>
      <c r="D37" s="53">
        <f t="shared" si="0"/>
        <v>1984</v>
      </c>
      <c r="E37" s="53">
        <f t="shared" si="1"/>
        <v>2686.7</v>
      </c>
      <c r="G37" s="50">
        <v>2017</v>
      </c>
      <c r="H37" s="51">
        <f t="shared" si="2"/>
        <v>2045.6000000000001</v>
      </c>
    </row>
    <row r="38" spans="1:8" x14ac:dyDescent="0.3">
      <c r="A38" s="53" t="s">
        <v>141</v>
      </c>
      <c r="B38" s="53">
        <v>111.1</v>
      </c>
      <c r="D38" s="53">
        <f t="shared" si="0"/>
        <v>1985</v>
      </c>
      <c r="E38" s="53">
        <f t="shared" si="1"/>
        <v>1483.9</v>
      </c>
      <c r="G38" s="50">
        <v>2018</v>
      </c>
      <c r="H38" s="51">
        <f t="shared" si="2"/>
        <v>1708.1999999999998</v>
      </c>
    </row>
    <row r="39" spans="1:8" x14ac:dyDescent="0.3">
      <c r="A39" s="53" t="s">
        <v>142</v>
      </c>
      <c r="B39" s="53">
        <v>79.3</v>
      </c>
      <c r="D39" s="53">
        <f t="shared" si="0"/>
        <v>1985</v>
      </c>
      <c r="E39" s="53">
        <f t="shared" si="1"/>
        <v>1483.9</v>
      </c>
      <c r="G39" s="50">
        <v>2019</v>
      </c>
      <c r="H39" s="51">
        <f t="shared" si="2"/>
        <v>1367.5</v>
      </c>
    </row>
    <row r="40" spans="1:8" x14ac:dyDescent="0.3">
      <c r="A40" s="53" t="s">
        <v>143</v>
      </c>
      <c r="B40" s="53">
        <v>88</v>
      </c>
      <c r="D40" s="53">
        <f t="shared" si="0"/>
        <v>1985</v>
      </c>
      <c r="E40" s="53">
        <f t="shared" si="1"/>
        <v>1483.9</v>
      </c>
      <c r="G40" s="50">
        <v>2020</v>
      </c>
      <c r="H40" s="51">
        <f t="shared" si="2"/>
        <v>1886.6</v>
      </c>
    </row>
    <row r="41" spans="1:8" x14ac:dyDescent="0.3">
      <c r="A41" s="53" t="s">
        <v>144</v>
      </c>
      <c r="B41" s="53">
        <v>110.5</v>
      </c>
      <c r="D41" s="53">
        <f t="shared" si="0"/>
        <v>1985</v>
      </c>
      <c r="E41" s="53">
        <f t="shared" si="1"/>
        <v>1483.9</v>
      </c>
      <c r="G41" s="50">
        <v>2021</v>
      </c>
      <c r="H41" s="51">
        <f t="shared" si="2"/>
        <v>2809.6</v>
      </c>
    </row>
    <row r="42" spans="1:8" x14ac:dyDescent="0.3">
      <c r="A42" s="53" t="s">
        <v>145</v>
      </c>
      <c r="B42" s="53">
        <v>70.099999999999994</v>
      </c>
      <c r="D42" s="53">
        <f t="shared" si="0"/>
        <v>1985</v>
      </c>
      <c r="E42" s="53">
        <f t="shared" si="1"/>
        <v>1483.9</v>
      </c>
      <c r="G42" s="50">
        <v>2022</v>
      </c>
      <c r="H42" s="51">
        <f t="shared" si="2"/>
        <v>2207.2000000000003</v>
      </c>
    </row>
    <row r="43" spans="1:8" x14ac:dyDescent="0.3">
      <c r="A43" s="53" t="s">
        <v>146</v>
      </c>
      <c r="B43" s="53">
        <v>37</v>
      </c>
      <c r="D43" s="53">
        <f t="shared" si="0"/>
        <v>1985</v>
      </c>
      <c r="E43" s="53">
        <f t="shared" si="1"/>
        <v>1483.9</v>
      </c>
      <c r="G43" s="50">
        <v>2023</v>
      </c>
      <c r="H43" s="51">
        <f t="shared" si="2"/>
        <v>2411.1999999999998</v>
      </c>
    </row>
    <row r="44" spans="1:8" x14ac:dyDescent="0.3">
      <c r="A44" s="53" t="s">
        <v>147</v>
      </c>
      <c r="B44" s="53">
        <v>131.80000000000001</v>
      </c>
      <c r="D44" s="53">
        <f t="shared" si="0"/>
        <v>1985</v>
      </c>
      <c r="E44" s="53">
        <f t="shared" si="1"/>
        <v>1483.9</v>
      </c>
      <c r="G44" s="50">
        <v>2024</v>
      </c>
      <c r="H44" s="51">
        <f t="shared" si="2"/>
        <v>2432</v>
      </c>
    </row>
    <row r="45" spans="1:8" x14ac:dyDescent="0.3">
      <c r="A45" s="53" t="s">
        <v>148</v>
      </c>
      <c r="B45" s="53">
        <v>56.9</v>
      </c>
      <c r="D45" s="53">
        <f t="shared" si="0"/>
        <v>1985</v>
      </c>
      <c r="E45" s="53">
        <f t="shared" si="1"/>
        <v>1483.9</v>
      </c>
      <c r="G45" s="50">
        <v>2025</v>
      </c>
      <c r="H45" s="51">
        <f t="shared" si="2"/>
        <v>2167.5</v>
      </c>
    </row>
    <row r="46" spans="1:8" x14ac:dyDescent="0.3">
      <c r="A46" s="53" t="s">
        <v>149</v>
      </c>
      <c r="B46" s="53">
        <v>110.7</v>
      </c>
      <c r="D46" s="53">
        <f t="shared" si="0"/>
        <v>1985</v>
      </c>
      <c r="E46" s="53">
        <f t="shared" si="1"/>
        <v>1483.9</v>
      </c>
    </row>
    <row r="47" spans="1:8" x14ac:dyDescent="0.3">
      <c r="A47" s="53" t="s">
        <v>150</v>
      </c>
      <c r="B47" s="53">
        <v>169</v>
      </c>
      <c r="D47" s="53">
        <f t="shared" si="0"/>
        <v>1985</v>
      </c>
      <c r="E47" s="53">
        <f t="shared" si="1"/>
        <v>1483.9</v>
      </c>
    </row>
    <row r="48" spans="1:8" x14ac:dyDescent="0.3">
      <c r="A48" s="53" t="s">
        <v>151</v>
      </c>
      <c r="B48" s="53">
        <v>179.4</v>
      </c>
      <c r="D48" s="53">
        <f t="shared" si="0"/>
        <v>1985</v>
      </c>
      <c r="E48" s="53">
        <f t="shared" si="1"/>
        <v>1483.9</v>
      </c>
    </row>
    <row r="49" spans="1:5" x14ac:dyDescent="0.3">
      <c r="A49" s="53" t="s">
        <v>152</v>
      </c>
      <c r="B49" s="53">
        <v>340.1</v>
      </c>
      <c r="D49" s="53">
        <f t="shared" si="0"/>
        <v>1985</v>
      </c>
      <c r="E49" s="53">
        <f t="shared" si="1"/>
        <v>1483.9</v>
      </c>
    </row>
    <row r="50" spans="1:5" x14ac:dyDescent="0.3">
      <c r="A50" s="53" t="s">
        <v>153</v>
      </c>
      <c r="B50" s="53">
        <v>308.2</v>
      </c>
      <c r="D50" s="53">
        <f t="shared" si="0"/>
        <v>1986</v>
      </c>
      <c r="E50" s="53">
        <f t="shared" si="1"/>
        <v>2536.1</v>
      </c>
    </row>
    <row r="51" spans="1:5" x14ac:dyDescent="0.3">
      <c r="A51" s="53" t="s">
        <v>154</v>
      </c>
      <c r="B51" s="53">
        <v>26.7</v>
      </c>
      <c r="D51" s="53">
        <f t="shared" si="0"/>
        <v>1986</v>
      </c>
      <c r="E51" s="53">
        <f t="shared" si="1"/>
        <v>2536.1</v>
      </c>
    </row>
    <row r="52" spans="1:5" x14ac:dyDescent="0.3">
      <c r="A52" s="53" t="s">
        <v>155</v>
      </c>
      <c r="B52" s="53">
        <v>353.4</v>
      </c>
      <c r="D52" s="53">
        <f t="shared" si="0"/>
        <v>1986</v>
      </c>
      <c r="E52" s="53">
        <f t="shared" si="1"/>
        <v>2536.1</v>
      </c>
    </row>
    <row r="53" spans="1:5" x14ac:dyDescent="0.3">
      <c r="A53" s="53" t="s">
        <v>156</v>
      </c>
      <c r="B53" s="53">
        <v>150</v>
      </c>
      <c r="D53" s="53">
        <f t="shared" si="0"/>
        <v>1986</v>
      </c>
      <c r="E53" s="53">
        <f t="shared" si="1"/>
        <v>2536.1</v>
      </c>
    </row>
    <row r="54" spans="1:5" x14ac:dyDescent="0.3">
      <c r="A54" s="53" t="s">
        <v>157</v>
      </c>
      <c r="B54" s="53">
        <v>145.1</v>
      </c>
      <c r="D54" s="53">
        <f t="shared" si="0"/>
        <v>1986</v>
      </c>
      <c r="E54" s="53">
        <f t="shared" si="1"/>
        <v>2536.1</v>
      </c>
    </row>
    <row r="55" spans="1:5" x14ac:dyDescent="0.3">
      <c r="A55" s="53" t="s">
        <v>158</v>
      </c>
      <c r="B55" s="53">
        <v>122.9</v>
      </c>
      <c r="D55" s="53">
        <f t="shared" si="0"/>
        <v>1986</v>
      </c>
      <c r="E55" s="53">
        <f t="shared" si="1"/>
        <v>2536.1</v>
      </c>
    </row>
    <row r="56" spans="1:5" x14ac:dyDescent="0.3">
      <c r="A56" s="53" t="s">
        <v>159</v>
      </c>
      <c r="B56" s="53">
        <v>109.7</v>
      </c>
      <c r="D56" s="53">
        <f t="shared" si="0"/>
        <v>1986</v>
      </c>
      <c r="E56" s="53">
        <f t="shared" si="1"/>
        <v>2536.1</v>
      </c>
    </row>
    <row r="57" spans="1:5" x14ac:dyDescent="0.3">
      <c r="A57" s="53" t="s">
        <v>160</v>
      </c>
      <c r="B57" s="53">
        <v>72.900000000000006</v>
      </c>
      <c r="D57" s="53">
        <f t="shared" si="0"/>
        <v>1986</v>
      </c>
      <c r="E57" s="53">
        <f t="shared" si="1"/>
        <v>2536.1</v>
      </c>
    </row>
    <row r="58" spans="1:5" x14ac:dyDescent="0.3">
      <c r="A58" s="53" t="s">
        <v>161</v>
      </c>
      <c r="B58" s="53">
        <v>396</v>
      </c>
      <c r="D58" s="53">
        <f t="shared" si="0"/>
        <v>1986</v>
      </c>
      <c r="E58" s="53">
        <f t="shared" si="1"/>
        <v>2536.1</v>
      </c>
    </row>
    <row r="59" spans="1:5" x14ac:dyDescent="0.3">
      <c r="A59" s="53" t="s">
        <v>162</v>
      </c>
      <c r="B59" s="53">
        <v>227.3</v>
      </c>
      <c r="D59" s="53">
        <f t="shared" si="0"/>
        <v>1986</v>
      </c>
      <c r="E59" s="53">
        <f t="shared" si="1"/>
        <v>2536.1</v>
      </c>
    </row>
    <row r="60" spans="1:5" x14ac:dyDescent="0.3">
      <c r="A60" s="53" t="s">
        <v>163</v>
      </c>
      <c r="B60" s="53">
        <v>256.7</v>
      </c>
      <c r="D60" s="53">
        <f t="shared" si="0"/>
        <v>1986</v>
      </c>
      <c r="E60" s="53">
        <f t="shared" si="1"/>
        <v>2536.1</v>
      </c>
    </row>
    <row r="61" spans="1:5" x14ac:dyDescent="0.3">
      <c r="A61" s="53" t="s">
        <v>164</v>
      </c>
      <c r="B61" s="53">
        <v>367.2</v>
      </c>
      <c r="D61" s="53">
        <f t="shared" si="0"/>
        <v>1986</v>
      </c>
      <c r="E61" s="53">
        <f t="shared" si="1"/>
        <v>2536.1</v>
      </c>
    </row>
    <row r="62" spans="1:5" x14ac:dyDescent="0.3">
      <c r="A62" s="53" t="s">
        <v>165</v>
      </c>
      <c r="B62" s="53">
        <v>568.6</v>
      </c>
      <c r="D62" s="53">
        <f t="shared" si="0"/>
        <v>1987</v>
      </c>
      <c r="E62" s="53">
        <f t="shared" si="1"/>
        <v>2102.8000000000002</v>
      </c>
    </row>
    <row r="63" spans="1:5" x14ac:dyDescent="0.3">
      <c r="A63" s="53" t="s">
        <v>166</v>
      </c>
      <c r="B63" s="53">
        <v>86.9</v>
      </c>
      <c r="D63" s="53">
        <f t="shared" si="0"/>
        <v>1987</v>
      </c>
      <c r="E63" s="53">
        <f t="shared" si="1"/>
        <v>2102.8000000000002</v>
      </c>
    </row>
    <row r="64" spans="1:5" x14ac:dyDescent="0.3">
      <c r="A64" s="53" t="s">
        <v>167</v>
      </c>
      <c r="B64" s="53">
        <v>132.5</v>
      </c>
      <c r="D64" s="53">
        <f t="shared" si="0"/>
        <v>1987</v>
      </c>
      <c r="E64" s="53">
        <f t="shared" si="1"/>
        <v>2102.8000000000002</v>
      </c>
    </row>
    <row r="65" spans="1:5" x14ac:dyDescent="0.3">
      <c r="A65" s="53" t="s">
        <v>168</v>
      </c>
      <c r="B65" s="53">
        <v>72.5</v>
      </c>
      <c r="D65" s="53">
        <f t="shared" si="0"/>
        <v>1987</v>
      </c>
      <c r="E65" s="53">
        <f t="shared" si="1"/>
        <v>2102.8000000000002</v>
      </c>
    </row>
    <row r="66" spans="1:5" x14ac:dyDescent="0.3">
      <c r="A66" s="53" t="s">
        <v>169</v>
      </c>
      <c r="B66" s="53">
        <v>270</v>
      </c>
      <c r="D66" s="53">
        <f t="shared" ref="D66:D129" si="3">YEAR(DATEVALUE(A66 &amp; "-01"))</f>
        <v>1987</v>
      </c>
      <c r="E66" s="53">
        <f t="shared" ref="E66:E129" si="4">SUMIFS($B:$B,$D:$D,D66)</f>
        <v>2102.8000000000002</v>
      </c>
    </row>
    <row r="67" spans="1:5" x14ac:dyDescent="0.3">
      <c r="A67" s="53" t="s">
        <v>170</v>
      </c>
      <c r="B67" s="53">
        <v>126.6</v>
      </c>
      <c r="D67" s="53">
        <f t="shared" si="3"/>
        <v>1987</v>
      </c>
      <c r="E67" s="53">
        <f t="shared" si="4"/>
        <v>2102.8000000000002</v>
      </c>
    </row>
    <row r="68" spans="1:5" x14ac:dyDescent="0.3">
      <c r="A68" s="53" t="s">
        <v>171</v>
      </c>
      <c r="B68" s="53">
        <v>80.900000000000006</v>
      </c>
      <c r="D68" s="53">
        <f t="shared" si="3"/>
        <v>1987</v>
      </c>
      <c r="E68" s="53">
        <f t="shared" si="4"/>
        <v>2102.8000000000002</v>
      </c>
    </row>
    <row r="69" spans="1:5" x14ac:dyDescent="0.3">
      <c r="A69" s="53" t="s">
        <v>172</v>
      </c>
      <c r="B69" s="53">
        <v>191.9</v>
      </c>
      <c r="D69" s="53">
        <f t="shared" si="3"/>
        <v>1987</v>
      </c>
      <c r="E69" s="53">
        <f t="shared" si="4"/>
        <v>2102.8000000000002</v>
      </c>
    </row>
    <row r="70" spans="1:5" x14ac:dyDescent="0.3">
      <c r="A70" s="53" t="s">
        <v>173</v>
      </c>
      <c r="B70" s="53">
        <v>129.9</v>
      </c>
      <c r="D70" s="53">
        <f t="shared" si="3"/>
        <v>1987</v>
      </c>
      <c r="E70" s="53">
        <f t="shared" si="4"/>
        <v>2102.8000000000002</v>
      </c>
    </row>
    <row r="71" spans="1:5" x14ac:dyDescent="0.3">
      <c r="A71" s="53" t="s">
        <v>174</v>
      </c>
      <c r="B71" s="53">
        <v>22.6</v>
      </c>
      <c r="D71" s="53">
        <f t="shared" si="3"/>
        <v>1987</v>
      </c>
      <c r="E71" s="53">
        <f t="shared" si="4"/>
        <v>2102.8000000000002</v>
      </c>
    </row>
    <row r="72" spans="1:5" x14ac:dyDescent="0.3">
      <c r="A72" s="53" t="s">
        <v>175</v>
      </c>
      <c r="B72" s="53">
        <v>347.6</v>
      </c>
      <c r="D72" s="53">
        <f t="shared" si="3"/>
        <v>1987</v>
      </c>
      <c r="E72" s="53">
        <f t="shared" si="4"/>
        <v>2102.8000000000002</v>
      </c>
    </row>
    <row r="73" spans="1:5" x14ac:dyDescent="0.3">
      <c r="A73" s="53" t="s">
        <v>176</v>
      </c>
      <c r="B73" s="53">
        <v>72.8</v>
      </c>
      <c r="D73" s="53">
        <f t="shared" si="3"/>
        <v>1987</v>
      </c>
      <c r="E73" s="53">
        <f t="shared" si="4"/>
        <v>2102.8000000000002</v>
      </c>
    </row>
    <row r="74" spans="1:5" x14ac:dyDescent="0.3">
      <c r="A74" s="53" t="s">
        <v>177</v>
      </c>
      <c r="B74" s="53">
        <v>237.5</v>
      </c>
      <c r="D74" s="53">
        <f t="shared" si="3"/>
        <v>1988</v>
      </c>
      <c r="E74" s="53">
        <f t="shared" si="4"/>
        <v>2598.6000000000004</v>
      </c>
    </row>
    <row r="75" spans="1:5" x14ac:dyDescent="0.3">
      <c r="A75" s="53" t="s">
        <v>178</v>
      </c>
      <c r="B75" s="53">
        <v>158.1</v>
      </c>
      <c r="D75" s="53">
        <f t="shared" si="3"/>
        <v>1988</v>
      </c>
      <c r="E75" s="53">
        <f t="shared" si="4"/>
        <v>2598.6000000000004</v>
      </c>
    </row>
    <row r="76" spans="1:5" x14ac:dyDescent="0.3">
      <c r="A76" s="53" t="s">
        <v>179</v>
      </c>
      <c r="B76" s="53">
        <v>186.8</v>
      </c>
      <c r="D76" s="53">
        <f t="shared" si="3"/>
        <v>1988</v>
      </c>
      <c r="E76" s="53">
        <f t="shared" si="4"/>
        <v>2598.6000000000004</v>
      </c>
    </row>
    <row r="77" spans="1:5" x14ac:dyDescent="0.3">
      <c r="A77" s="53" t="s">
        <v>180</v>
      </c>
      <c r="B77" s="53">
        <v>109.6</v>
      </c>
      <c r="D77" s="53">
        <f t="shared" si="3"/>
        <v>1988</v>
      </c>
      <c r="E77" s="53">
        <f t="shared" si="4"/>
        <v>2598.6000000000004</v>
      </c>
    </row>
    <row r="78" spans="1:5" x14ac:dyDescent="0.3">
      <c r="A78" s="53" t="s">
        <v>181</v>
      </c>
      <c r="B78" s="53">
        <v>229.6</v>
      </c>
      <c r="D78" s="53">
        <f t="shared" si="3"/>
        <v>1988</v>
      </c>
      <c r="E78" s="53">
        <f t="shared" si="4"/>
        <v>2598.6000000000004</v>
      </c>
    </row>
    <row r="79" spans="1:5" x14ac:dyDescent="0.3">
      <c r="A79" s="53" t="s">
        <v>182</v>
      </c>
      <c r="B79" s="53">
        <v>252.2</v>
      </c>
      <c r="D79" s="53">
        <f t="shared" si="3"/>
        <v>1988</v>
      </c>
      <c r="E79" s="53">
        <f t="shared" si="4"/>
        <v>2598.6000000000004</v>
      </c>
    </row>
    <row r="80" spans="1:5" x14ac:dyDescent="0.3">
      <c r="A80" s="53" t="s">
        <v>183</v>
      </c>
      <c r="B80" s="53">
        <v>305.39999999999998</v>
      </c>
      <c r="D80" s="53">
        <f t="shared" si="3"/>
        <v>1988</v>
      </c>
      <c r="E80" s="53">
        <f t="shared" si="4"/>
        <v>2598.6000000000004</v>
      </c>
    </row>
    <row r="81" spans="1:5" x14ac:dyDescent="0.3">
      <c r="A81" s="53" t="s">
        <v>184</v>
      </c>
      <c r="B81" s="53">
        <v>80.099999999999994</v>
      </c>
      <c r="D81" s="53">
        <f t="shared" si="3"/>
        <v>1988</v>
      </c>
      <c r="E81" s="53">
        <f t="shared" si="4"/>
        <v>2598.6000000000004</v>
      </c>
    </row>
    <row r="82" spans="1:5" x14ac:dyDescent="0.3">
      <c r="A82" s="53" t="s">
        <v>185</v>
      </c>
      <c r="B82" s="53">
        <v>440.4</v>
      </c>
      <c r="D82" s="53">
        <f t="shared" si="3"/>
        <v>1988</v>
      </c>
      <c r="E82" s="53">
        <f t="shared" si="4"/>
        <v>2598.6000000000004</v>
      </c>
    </row>
    <row r="83" spans="1:5" x14ac:dyDescent="0.3">
      <c r="A83" s="53" t="s">
        <v>186</v>
      </c>
      <c r="B83" s="53">
        <v>134.6</v>
      </c>
      <c r="D83" s="53">
        <f t="shared" si="3"/>
        <v>1988</v>
      </c>
      <c r="E83" s="53">
        <f t="shared" si="4"/>
        <v>2598.6000000000004</v>
      </c>
    </row>
    <row r="84" spans="1:5" x14ac:dyDescent="0.3">
      <c r="A84" s="53" t="s">
        <v>187</v>
      </c>
      <c r="B84" s="53">
        <v>401.4</v>
      </c>
      <c r="D84" s="53">
        <f t="shared" si="3"/>
        <v>1988</v>
      </c>
      <c r="E84" s="53">
        <f t="shared" si="4"/>
        <v>2598.6000000000004</v>
      </c>
    </row>
    <row r="85" spans="1:5" x14ac:dyDescent="0.3">
      <c r="A85" s="53" t="s">
        <v>188</v>
      </c>
      <c r="B85" s="53">
        <v>62.9</v>
      </c>
      <c r="D85" s="53">
        <f t="shared" si="3"/>
        <v>1988</v>
      </c>
      <c r="E85" s="53">
        <f t="shared" si="4"/>
        <v>2598.6000000000004</v>
      </c>
    </row>
    <row r="86" spans="1:5" x14ac:dyDescent="0.3">
      <c r="A86" s="53" t="s">
        <v>189</v>
      </c>
      <c r="B86" s="53">
        <v>189.7</v>
      </c>
      <c r="D86" s="53">
        <f t="shared" si="3"/>
        <v>1989</v>
      </c>
      <c r="E86" s="53">
        <f t="shared" si="4"/>
        <v>2463.1999999999998</v>
      </c>
    </row>
    <row r="87" spans="1:5" x14ac:dyDescent="0.3">
      <c r="A87" s="53" t="s">
        <v>190</v>
      </c>
      <c r="B87" s="53">
        <v>52.4</v>
      </c>
      <c r="D87" s="53">
        <f t="shared" si="3"/>
        <v>1989</v>
      </c>
      <c r="E87" s="53">
        <f t="shared" si="4"/>
        <v>2463.1999999999998</v>
      </c>
    </row>
    <row r="88" spans="1:5" x14ac:dyDescent="0.3">
      <c r="A88" s="53" t="s">
        <v>191</v>
      </c>
      <c r="B88" s="53">
        <v>305.89999999999998</v>
      </c>
      <c r="D88" s="53">
        <f t="shared" si="3"/>
        <v>1989</v>
      </c>
      <c r="E88" s="53">
        <f t="shared" si="4"/>
        <v>2463.1999999999998</v>
      </c>
    </row>
    <row r="89" spans="1:5" x14ac:dyDescent="0.3">
      <c r="A89" s="53" t="s">
        <v>192</v>
      </c>
      <c r="B89" s="53">
        <v>198.6</v>
      </c>
      <c r="D89" s="53">
        <f t="shared" si="3"/>
        <v>1989</v>
      </c>
      <c r="E89" s="53">
        <f t="shared" si="4"/>
        <v>2463.1999999999998</v>
      </c>
    </row>
    <row r="90" spans="1:5" x14ac:dyDescent="0.3">
      <c r="A90" s="53" t="s">
        <v>193</v>
      </c>
      <c r="B90" s="53">
        <v>194</v>
      </c>
      <c r="D90" s="53">
        <f t="shared" si="3"/>
        <v>1989</v>
      </c>
      <c r="E90" s="53">
        <f t="shared" si="4"/>
        <v>2463.1999999999998</v>
      </c>
    </row>
    <row r="91" spans="1:5" x14ac:dyDescent="0.3">
      <c r="A91" s="53" t="s">
        <v>194</v>
      </c>
      <c r="B91" s="53">
        <v>117.6</v>
      </c>
      <c r="D91" s="53">
        <f t="shared" si="3"/>
        <v>1989</v>
      </c>
      <c r="E91" s="53">
        <f t="shared" si="4"/>
        <v>2463.1999999999998</v>
      </c>
    </row>
    <row r="92" spans="1:5" x14ac:dyDescent="0.3">
      <c r="A92" s="53" t="s">
        <v>195</v>
      </c>
      <c r="B92" s="53">
        <v>157.6</v>
      </c>
      <c r="D92" s="53">
        <f t="shared" si="3"/>
        <v>1989</v>
      </c>
      <c r="E92" s="53">
        <f t="shared" si="4"/>
        <v>2463.1999999999998</v>
      </c>
    </row>
    <row r="93" spans="1:5" x14ac:dyDescent="0.3">
      <c r="A93" s="53" t="s">
        <v>196</v>
      </c>
      <c r="B93" s="53">
        <v>201</v>
      </c>
      <c r="D93" s="53">
        <f t="shared" si="3"/>
        <v>1989</v>
      </c>
      <c r="E93" s="53">
        <f t="shared" si="4"/>
        <v>2463.1999999999998</v>
      </c>
    </row>
    <row r="94" spans="1:5" x14ac:dyDescent="0.3">
      <c r="A94" s="53" t="s">
        <v>197</v>
      </c>
      <c r="B94" s="53">
        <v>247.3</v>
      </c>
      <c r="D94" s="53">
        <f t="shared" si="3"/>
        <v>1989</v>
      </c>
      <c r="E94" s="53">
        <f t="shared" si="4"/>
        <v>2463.1999999999998</v>
      </c>
    </row>
    <row r="95" spans="1:5" x14ac:dyDescent="0.3">
      <c r="A95" s="53" t="s">
        <v>198</v>
      </c>
      <c r="B95" s="53">
        <v>111</v>
      </c>
      <c r="D95" s="53">
        <f t="shared" si="3"/>
        <v>1989</v>
      </c>
      <c r="E95" s="53">
        <f t="shared" si="4"/>
        <v>2463.1999999999998</v>
      </c>
    </row>
    <row r="96" spans="1:5" x14ac:dyDescent="0.3">
      <c r="A96" s="53" t="s">
        <v>199</v>
      </c>
      <c r="B96" s="53">
        <v>508.4</v>
      </c>
      <c r="D96" s="53">
        <f t="shared" si="3"/>
        <v>1989</v>
      </c>
      <c r="E96" s="53">
        <f t="shared" si="4"/>
        <v>2463.1999999999998</v>
      </c>
    </row>
    <row r="97" spans="1:5" x14ac:dyDescent="0.3">
      <c r="A97" s="53" t="s">
        <v>200</v>
      </c>
      <c r="B97" s="53">
        <v>179.7</v>
      </c>
      <c r="D97" s="53">
        <f t="shared" si="3"/>
        <v>1989</v>
      </c>
      <c r="E97" s="53">
        <f t="shared" si="4"/>
        <v>2463.1999999999998</v>
      </c>
    </row>
    <row r="98" spans="1:5" x14ac:dyDescent="0.3">
      <c r="A98" s="53" t="s">
        <v>201</v>
      </c>
      <c r="B98" s="53">
        <v>147.4</v>
      </c>
      <c r="D98" s="53">
        <f t="shared" si="3"/>
        <v>1990</v>
      </c>
      <c r="E98" s="53">
        <f t="shared" si="4"/>
        <v>1523.8000000000002</v>
      </c>
    </row>
    <row r="99" spans="1:5" x14ac:dyDescent="0.3">
      <c r="A99" s="53" t="s">
        <v>202</v>
      </c>
      <c r="B99" s="53">
        <v>24.1</v>
      </c>
      <c r="D99" s="53">
        <f t="shared" si="3"/>
        <v>1990</v>
      </c>
      <c r="E99" s="53">
        <f t="shared" si="4"/>
        <v>1523.8000000000002</v>
      </c>
    </row>
    <row r="100" spans="1:5" x14ac:dyDescent="0.3">
      <c r="A100" s="53" t="s">
        <v>203</v>
      </c>
      <c r="B100" s="53">
        <v>94.2</v>
      </c>
      <c r="D100" s="53">
        <f t="shared" si="3"/>
        <v>1990</v>
      </c>
      <c r="E100" s="53">
        <f t="shared" si="4"/>
        <v>1523.8000000000002</v>
      </c>
    </row>
    <row r="101" spans="1:5" x14ac:dyDescent="0.3">
      <c r="A101" s="53" t="s">
        <v>204</v>
      </c>
      <c r="B101" s="53">
        <v>52.4</v>
      </c>
      <c r="D101" s="53">
        <f t="shared" si="3"/>
        <v>1990</v>
      </c>
      <c r="E101" s="53">
        <f t="shared" si="4"/>
        <v>1523.8000000000002</v>
      </c>
    </row>
    <row r="102" spans="1:5" x14ac:dyDescent="0.3">
      <c r="A102" s="53" t="s">
        <v>205</v>
      </c>
      <c r="B102" s="53">
        <v>180.1</v>
      </c>
      <c r="D102" s="53">
        <f t="shared" si="3"/>
        <v>1990</v>
      </c>
      <c r="E102" s="53">
        <f t="shared" si="4"/>
        <v>1523.8000000000002</v>
      </c>
    </row>
    <row r="103" spans="1:5" x14ac:dyDescent="0.3">
      <c r="A103" s="53" t="s">
        <v>206</v>
      </c>
      <c r="B103" s="53">
        <v>112.6</v>
      </c>
      <c r="D103" s="53">
        <f t="shared" si="3"/>
        <v>1990</v>
      </c>
      <c r="E103" s="53">
        <f t="shared" si="4"/>
        <v>1523.8000000000002</v>
      </c>
    </row>
    <row r="104" spans="1:5" x14ac:dyDescent="0.3">
      <c r="A104" s="53" t="s">
        <v>207</v>
      </c>
      <c r="B104" s="53">
        <v>124</v>
      </c>
      <c r="D104" s="53">
        <f t="shared" si="3"/>
        <v>1990</v>
      </c>
      <c r="E104" s="53">
        <f t="shared" si="4"/>
        <v>1523.8000000000002</v>
      </c>
    </row>
    <row r="105" spans="1:5" x14ac:dyDescent="0.3">
      <c r="A105" s="53" t="s">
        <v>208</v>
      </c>
      <c r="B105" s="53">
        <v>146.6</v>
      </c>
      <c r="D105" s="53">
        <f t="shared" si="3"/>
        <v>1990</v>
      </c>
      <c r="E105" s="53">
        <f t="shared" si="4"/>
        <v>1523.8000000000002</v>
      </c>
    </row>
    <row r="106" spans="1:5" x14ac:dyDescent="0.3">
      <c r="A106" s="53" t="s">
        <v>209</v>
      </c>
      <c r="B106" s="53">
        <v>204.5</v>
      </c>
      <c r="D106" s="53">
        <f t="shared" si="3"/>
        <v>1990</v>
      </c>
      <c r="E106" s="53">
        <f t="shared" si="4"/>
        <v>1523.8000000000002</v>
      </c>
    </row>
    <row r="107" spans="1:5" x14ac:dyDescent="0.3">
      <c r="A107" s="53" t="s">
        <v>210</v>
      </c>
      <c r="B107" s="53">
        <v>56.4</v>
      </c>
      <c r="D107" s="53">
        <f t="shared" si="3"/>
        <v>1990</v>
      </c>
      <c r="E107" s="53">
        <f t="shared" si="4"/>
        <v>1523.8000000000002</v>
      </c>
    </row>
    <row r="108" spans="1:5" x14ac:dyDescent="0.3">
      <c r="A108" s="53" t="s">
        <v>211</v>
      </c>
      <c r="B108" s="53">
        <v>180.4</v>
      </c>
      <c r="D108" s="53">
        <f t="shared" si="3"/>
        <v>1990</v>
      </c>
      <c r="E108" s="53">
        <f t="shared" si="4"/>
        <v>1523.8000000000002</v>
      </c>
    </row>
    <row r="109" spans="1:5" x14ac:dyDescent="0.3">
      <c r="A109" s="53" t="s">
        <v>212</v>
      </c>
      <c r="B109" s="53">
        <v>201.1</v>
      </c>
      <c r="D109" s="53">
        <f t="shared" si="3"/>
        <v>1990</v>
      </c>
      <c r="E109" s="53">
        <f t="shared" si="4"/>
        <v>1523.8000000000002</v>
      </c>
    </row>
    <row r="110" spans="1:5" x14ac:dyDescent="0.3">
      <c r="A110" s="53" t="s">
        <v>213</v>
      </c>
      <c r="B110" s="53">
        <v>123.9</v>
      </c>
      <c r="D110" s="53">
        <f t="shared" si="3"/>
        <v>1991</v>
      </c>
      <c r="E110" s="53">
        <f t="shared" si="4"/>
        <v>1876.9999999999998</v>
      </c>
    </row>
    <row r="111" spans="1:5" x14ac:dyDescent="0.3">
      <c r="A111" s="53" t="s">
        <v>214</v>
      </c>
      <c r="B111" s="53">
        <v>45.5</v>
      </c>
      <c r="D111" s="53">
        <f t="shared" si="3"/>
        <v>1991</v>
      </c>
      <c r="E111" s="53">
        <f t="shared" si="4"/>
        <v>1876.9999999999998</v>
      </c>
    </row>
    <row r="112" spans="1:5" x14ac:dyDescent="0.3">
      <c r="A112" s="53" t="s">
        <v>215</v>
      </c>
      <c r="B112" s="53">
        <v>92.4</v>
      </c>
      <c r="D112" s="53">
        <f t="shared" si="3"/>
        <v>1991</v>
      </c>
      <c r="E112" s="53">
        <f t="shared" si="4"/>
        <v>1876.9999999999998</v>
      </c>
    </row>
    <row r="113" spans="1:5" x14ac:dyDescent="0.3">
      <c r="A113" s="53" t="s">
        <v>216</v>
      </c>
      <c r="B113" s="53">
        <v>134.19999999999999</v>
      </c>
      <c r="D113" s="53">
        <f t="shared" si="3"/>
        <v>1991</v>
      </c>
      <c r="E113" s="53">
        <f t="shared" si="4"/>
        <v>1876.9999999999998</v>
      </c>
    </row>
    <row r="114" spans="1:5" x14ac:dyDescent="0.3">
      <c r="A114" s="53" t="s">
        <v>217</v>
      </c>
      <c r="B114" s="53">
        <v>256.39999999999998</v>
      </c>
      <c r="D114" s="53">
        <f t="shared" si="3"/>
        <v>1991</v>
      </c>
      <c r="E114" s="53">
        <f t="shared" si="4"/>
        <v>1876.9999999999998</v>
      </c>
    </row>
    <row r="115" spans="1:5" x14ac:dyDescent="0.3">
      <c r="A115" s="53" t="s">
        <v>218</v>
      </c>
      <c r="B115" s="53">
        <v>88.7</v>
      </c>
      <c r="D115" s="53">
        <f t="shared" si="3"/>
        <v>1991</v>
      </c>
      <c r="E115" s="53">
        <f t="shared" si="4"/>
        <v>1876.9999999999998</v>
      </c>
    </row>
    <row r="116" spans="1:5" x14ac:dyDescent="0.3">
      <c r="A116" s="53" t="s">
        <v>219</v>
      </c>
      <c r="B116" s="53">
        <v>37.299999999999997</v>
      </c>
      <c r="D116" s="53">
        <f t="shared" si="3"/>
        <v>1991</v>
      </c>
      <c r="E116" s="53">
        <f t="shared" si="4"/>
        <v>1876.9999999999998</v>
      </c>
    </row>
    <row r="117" spans="1:5" x14ac:dyDescent="0.3">
      <c r="A117" s="53" t="s">
        <v>220</v>
      </c>
      <c r="B117" s="53">
        <v>226.2</v>
      </c>
      <c r="D117" s="53">
        <f t="shared" si="3"/>
        <v>1991</v>
      </c>
      <c r="E117" s="53">
        <f t="shared" si="4"/>
        <v>1876.9999999999998</v>
      </c>
    </row>
    <row r="118" spans="1:5" x14ac:dyDescent="0.3">
      <c r="A118" s="53" t="s">
        <v>221</v>
      </c>
      <c r="B118" s="53">
        <v>123.1</v>
      </c>
      <c r="D118" s="53">
        <f t="shared" si="3"/>
        <v>1991</v>
      </c>
      <c r="E118" s="53">
        <f t="shared" si="4"/>
        <v>1876.9999999999998</v>
      </c>
    </row>
    <row r="119" spans="1:5" x14ac:dyDescent="0.3">
      <c r="A119" s="53" t="s">
        <v>222</v>
      </c>
      <c r="B119" s="53">
        <v>52</v>
      </c>
      <c r="D119" s="53">
        <f t="shared" si="3"/>
        <v>1991</v>
      </c>
      <c r="E119" s="53">
        <f t="shared" si="4"/>
        <v>1876.9999999999998</v>
      </c>
    </row>
    <row r="120" spans="1:5" x14ac:dyDescent="0.3">
      <c r="A120" s="53" t="s">
        <v>223</v>
      </c>
      <c r="B120" s="53">
        <v>205</v>
      </c>
      <c r="D120" s="53">
        <f t="shared" si="3"/>
        <v>1991</v>
      </c>
      <c r="E120" s="53">
        <f t="shared" si="4"/>
        <v>1876.9999999999998</v>
      </c>
    </row>
    <row r="121" spans="1:5" x14ac:dyDescent="0.3">
      <c r="A121" s="53" t="s">
        <v>224</v>
      </c>
      <c r="B121" s="53">
        <v>492.3</v>
      </c>
      <c r="D121" s="53">
        <f t="shared" si="3"/>
        <v>1991</v>
      </c>
      <c r="E121" s="53">
        <f t="shared" si="4"/>
        <v>1876.9999999999998</v>
      </c>
    </row>
    <row r="122" spans="1:5" x14ac:dyDescent="0.3">
      <c r="A122" s="53" t="s">
        <v>225</v>
      </c>
      <c r="B122" s="53">
        <v>83.9</v>
      </c>
      <c r="D122" s="53">
        <f t="shared" si="3"/>
        <v>1992</v>
      </c>
      <c r="E122" s="53">
        <f t="shared" si="4"/>
        <v>2260.8000000000002</v>
      </c>
    </row>
    <row r="123" spans="1:5" x14ac:dyDescent="0.3">
      <c r="A123" s="53" t="s">
        <v>226</v>
      </c>
      <c r="B123" s="53">
        <v>62.4</v>
      </c>
      <c r="D123" s="53">
        <f t="shared" si="3"/>
        <v>1992</v>
      </c>
      <c r="E123" s="53">
        <f t="shared" si="4"/>
        <v>2260.8000000000002</v>
      </c>
    </row>
    <row r="124" spans="1:5" x14ac:dyDescent="0.3">
      <c r="A124" s="53" t="s">
        <v>227</v>
      </c>
      <c r="B124" s="53">
        <v>67.599999999999994</v>
      </c>
      <c r="D124" s="53">
        <f t="shared" si="3"/>
        <v>1992</v>
      </c>
      <c r="E124" s="53">
        <f t="shared" si="4"/>
        <v>2260.8000000000002</v>
      </c>
    </row>
    <row r="125" spans="1:5" x14ac:dyDescent="0.3">
      <c r="A125" s="53" t="s">
        <v>228</v>
      </c>
      <c r="B125" s="53">
        <v>160.30000000000001</v>
      </c>
      <c r="D125" s="53">
        <f t="shared" si="3"/>
        <v>1992</v>
      </c>
      <c r="E125" s="53">
        <f t="shared" si="4"/>
        <v>2260.8000000000002</v>
      </c>
    </row>
    <row r="126" spans="1:5" x14ac:dyDescent="0.3">
      <c r="A126" s="53" t="s">
        <v>229</v>
      </c>
      <c r="B126" s="53">
        <v>63.1</v>
      </c>
      <c r="D126" s="53">
        <f t="shared" si="3"/>
        <v>1992</v>
      </c>
      <c r="E126" s="53">
        <f t="shared" si="4"/>
        <v>2260.8000000000002</v>
      </c>
    </row>
    <row r="127" spans="1:5" x14ac:dyDescent="0.3">
      <c r="A127" s="53" t="s">
        <v>230</v>
      </c>
      <c r="B127" s="53">
        <v>162.80000000000001</v>
      </c>
      <c r="D127" s="53">
        <f t="shared" si="3"/>
        <v>1992</v>
      </c>
      <c r="E127" s="53">
        <f t="shared" si="4"/>
        <v>2260.8000000000002</v>
      </c>
    </row>
    <row r="128" spans="1:5" x14ac:dyDescent="0.3">
      <c r="A128" s="53" t="s">
        <v>231</v>
      </c>
      <c r="B128" s="53">
        <v>290.8</v>
      </c>
      <c r="D128" s="53">
        <f t="shared" si="3"/>
        <v>1992</v>
      </c>
      <c r="E128" s="53">
        <f t="shared" si="4"/>
        <v>2260.8000000000002</v>
      </c>
    </row>
    <row r="129" spans="1:5" x14ac:dyDescent="0.3">
      <c r="A129" s="53" t="s">
        <v>232</v>
      </c>
      <c r="B129" s="53">
        <v>76.099999999999994</v>
      </c>
      <c r="D129" s="53">
        <f t="shared" si="3"/>
        <v>1992</v>
      </c>
      <c r="E129" s="53">
        <f t="shared" si="4"/>
        <v>2260.8000000000002</v>
      </c>
    </row>
    <row r="130" spans="1:5" x14ac:dyDescent="0.3">
      <c r="A130" s="53" t="s">
        <v>233</v>
      </c>
      <c r="B130" s="53">
        <v>83.6</v>
      </c>
      <c r="D130" s="53">
        <f t="shared" ref="D130:D193" si="5">YEAR(DATEVALUE(A130 &amp; "-01"))</f>
        <v>1992</v>
      </c>
      <c r="E130" s="53">
        <f t="shared" ref="E130:E193" si="6">SUMIFS($B:$B,$D:$D,D130)</f>
        <v>2260.8000000000002</v>
      </c>
    </row>
    <row r="131" spans="1:5" x14ac:dyDescent="0.3">
      <c r="A131" s="53" t="s">
        <v>234</v>
      </c>
      <c r="B131" s="53">
        <v>233.2</v>
      </c>
      <c r="D131" s="53">
        <f t="shared" si="5"/>
        <v>1992</v>
      </c>
      <c r="E131" s="53">
        <f t="shared" si="6"/>
        <v>2260.8000000000002</v>
      </c>
    </row>
    <row r="132" spans="1:5" x14ac:dyDescent="0.3">
      <c r="A132" s="53" t="s">
        <v>235</v>
      </c>
      <c r="B132" s="53">
        <v>474.3</v>
      </c>
      <c r="D132" s="53">
        <f t="shared" si="5"/>
        <v>1992</v>
      </c>
      <c r="E132" s="53">
        <f t="shared" si="6"/>
        <v>2260.8000000000002</v>
      </c>
    </row>
    <row r="133" spans="1:5" x14ac:dyDescent="0.3">
      <c r="A133" s="53" t="s">
        <v>236</v>
      </c>
      <c r="B133" s="53">
        <v>502.7</v>
      </c>
      <c r="D133" s="53">
        <f t="shared" si="5"/>
        <v>1992</v>
      </c>
      <c r="E133" s="53">
        <f t="shared" si="6"/>
        <v>2260.8000000000002</v>
      </c>
    </row>
    <row r="134" spans="1:5" x14ac:dyDescent="0.3">
      <c r="A134" s="53" t="s">
        <v>237</v>
      </c>
      <c r="B134" s="53">
        <v>176.4</v>
      </c>
      <c r="D134" s="53">
        <f t="shared" si="5"/>
        <v>1993</v>
      </c>
      <c r="E134" s="53">
        <f t="shared" si="6"/>
        <v>2168.6999999999998</v>
      </c>
    </row>
    <row r="135" spans="1:5" x14ac:dyDescent="0.3">
      <c r="A135" s="53" t="s">
        <v>238</v>
      </c>
      <c r="B135" s="53">
        <v>69.2</v>
      </c>
      <c r="D135" s="53">
        <f t="shared" si="5"/>
        <v>1993</v>
      </c>
      <c r="E135" s="53">
        <f t="shared" si="6"/>
        <v>2168.6999999999998</v>
      </c>
    </row>
    <row r="136" spans="1:5" x14ac:dyDescent="0.3">
      <c r="A136" s="53" t="s">
        <v>239</v>
      </c>
      <c r="B136" s="53">
        <v>250.5</v>
      </c>
      <c r="D136" s="53">
        <f t="shared" si="5"/>
        <v>1993</v>
      </c>
      <c r="E136" s="53">
        <f t="shared" si="6"/>
        <v>2168.6999999999998</v>
      </c>
    </row>
    <row r="137" spans="1:5" x14ac:dyDescent="0.3">
      <c r="A137" s="53" t="s">
        <v>240</v>
      </c>
      <c r="B137" s="53">
        <v>283.89999999999998</v>
      </c>
      <c r="D137" s="53">
        <f t="shared" si="5"/>
        <v>1993</v>
      </c>
      <c r="E137" s="53">
        <f t="shared" si="6"/>
        <v>2168.6999999999998</v>
      </c>
    </row>
    <row r="138" spans="1:5" x14ac:dyDescent="0.3">
      <c r="A138" s="53" t="s">
        <v>241</v>
      </c>
      <c r="B138" s="53">
        <v>129.9</v>
      </c>
      <c r="D138" s="53">
        <f t="shared" si="5"/>
        <v>1993</v>
      </c>
      <c r="E138" s="53">
        <f t="shared" si="6"/>
        <v>2168.6999999999998</v>
      </c>
    </row>
    <row r="139" spans="1:5" x14ac:dyDescent="0.3">
      <c r="A139" s="53" t="s">
        <v>242</v>
      </c>
      <c r="B139" s="53">
        <v>115.5</v>
      </c>
      <c r="D139" s="53">
        <f t="shared" si="5"/>
        <v>1993</v>
      </c>
      <c r="E139" s="53">
        <f t="shared" si="6"/>
        <v>2168.6999999999998</v>
      </c>
    </row>
    <row r="140" spans="1:5" x14ac:dyDescent="0.3">
      <c r="A140" s="53" t="s">
        <v>243</v>
      </c>
      <c r="B140" s="53">
        <v>240</v>
      </c>
      <c r="D140" s="53">
        <f t="shared" si="5"/>
        <v>1993</v>
      </c>
      <c r="E140" s="53">
        <f t="shared" si="6"/>
        <v>2168.6999999999998</v>
      </c>
    </row>
    <row r="141" spans="1:5" x14ac:dyDescent="0.3">
      <c r="A141" s="53" t="s">
        <v>244</v>
      </c>
      <c r="B141" s="53">
        <v>106.8</v>
      </c>
      <c r="D141" s="53">
        <f t="shared" si="5"/>
        <v>1993</v>
      </c>
      <c r="E141" s="53">
        <f t="shared" si="6"/>
        <v>2168.6999999999998</v>
      </c>
    </row>
    <row r="142" spans="1:5" x14ac:dyDescent="0.3">
      <c r="A142" s="53" t="s">
        <v>245</v>
      </c>
      <c r="B142" s="53">
        <v>61.7</v>
      </c>
      <c r="D142" s="53">
        <f t="shared" si="5"/>
        <v>1993</v>
      </c>
      <c r="E142" s="53">
        <f t="shared" si="6"/>
        <v>2168.6999999999998</v>
      </c>
    </row>
    <row r="143" spans="1:5" x14ac:dyDescent="0.3">
      <c r="A143" s="53" t="s">
        <v>246</v>
      </c>
      <c r="B143" s="53">
        <v>175.5</v>
      </c>
      <c r="D143" s="53">
        <f t="shared" si="5"/>
        <v>1993</v>
      </c>
      <c r="E143" s="53">
        <f t="shared" si="6"/>
        <v>2168.6999999999998</v>
      </c>
    </row>
    <row r="144" spans="1:5" x14ac:dyDescent="0.3">
      <c r="A144" s="53" t="s">
        <v>247</v>
      </c>
      <c r="B144" s="53">
        <v>250.8</v>
      </c>
      <c r="D144" s="53">
        <f t="shared" si="5"/>
        <v>1993</v>
      </c>
      <c r="E144" s="53">
        <f t="shared" si="6"/>
        <v>2168.6999999999998</v>
      </c>
    </row>
    <row r="145" spans="1:5" x14ac:dyDescent="0.3">
      <c r="A145" s="53" t="s">
        <v>248</v>
      </c>
      <c r="B145" s="53">
        <v>308.5</v>
      </c>
      <c r="D145" s="53">
        <f t="shared" si="5"/>
        <v>1993</v>
      </c>
      <c r="E145" s="53">
        <f t="shared" si="6"/>
        <v>2168.6999999999998</v>
      </c>
    </row>
    <row r="146" spans="1:5" x14ac:dyDescent="0.3">
      <c r="A146" s="53" t="s">
        <v>249</v>
      </c>
      <c r="B146" s="53">
        <v>56.9</v>
      </c>
      <c r="D146" s="53">
        <f t="shared" si="5"/>
        <v>1994</v>
      </c>
      <c r="E146" s="53">
        <f t="shared" si="6"/>
        <v>1941.8000000000002</v>
      </c>
    </row>
    <row r="147" spans="1:5" x14ac:dyDescent="0.3">
      <c r="A147" s="53" t="s">
        <v>250</v>
      </c>
      <c r="B147" s="53">
        <v>133.5</v>
      </c>
      <c r="D147" s="53">
        <f t="shared" si="5"/>
        <v>1994</v>
      </c>
      <c r="E147" s="53">
        <f t="shared" si="6"/>
        <v>1941.8000000000002</v>
      </c>
    </row>
    <row r="148" spans="1:5" x14ac:dyDescent="0.3">
      <c r="A148" s="53" t="s">
        <v>251</v>
      </c>
      <c r="B148" s="53">
        <v>288.2</v>
      </c>
      <c r="D148" s="53">
        <f t="shared" si="5"/>
        <v>1994</v>
      </c>
      <c r="E148" s="53">
        <f t="shared" si="6"/>
        <v>1941.8000000000002</v>
      </c>
    </row>
    <row r="149" spans="1:5" x14ac:dyDescent="0.3">
      <c r="A149" s="53" t="s">
        <v>252</v>
      </c>
      <c r="B149" s="53">
        <v>154</v>
      </c>
      <c r="D149" s="53">
        <f t="shared" si="5"/>
        <v>1994</v>
      </c>
      <c r="E149" s="53">
        <f t="shared" si="6"/>
        <v>1941.8000000000002</v>
      </c>
    </row>
    <row r="150" spans="1:5" x14ac:dyDescent="0.3">
      <c r="A150" s="53" t="s">
        <v>253</v>
      </c>
      <c r="B150" s="53">
        <v>169.6</v>
      </c>
      <c r="D150" s="53">
        <f t="shared" si="5"/>
        <v>1994</v>
      </c>
      <c r="E150" s="53">
        <f t="shared" si="6"/>
        <v>1941.8000000000002</v>
      </c>
    </row>
    <row r="151" spans="1:5" x14ac:dyDescent="0.3">
      <c r="A151" s="53" t="s">
        <v>254</v>
      </c>
      <c r="B151" s="53">
        <v>184.7</v>
      </c>
      <c r="D151" s="53">
        <f t="shared" si="5"/>
        <v>1994</v>
      </c>
      <c r="E151" s="53">
        <f t="shared" si="6"/>
        <v>1941.8000000000002</v>
      </c>
    </row>
    <row r="152" spans="1:5" x14ac:dyDescent="0.3">
      <c r="A152" s="53" t="s">
        <v>255</v>
      </c>
      <c r="B152" s="53">
        <v>53.8</v>
      </c>
      <c r="D152" s="53">
        <f t="shared" si="5"/>
        <v>1994</v>
      </c>
      <c r="E152" s="53">
        <f t="shared" si="6"/>
        <v>1941.8000000000002</v>
      </c>
    </row>
    <row r="153" spans="1:5" x14ac:dyDescent="0.3">
      <c r="A153" s="53" t="s">
        <v>256</v>
      </c>
      <c r="B153" s="53">
        <v>45.1</v>
      </c>
      <c r="D153" s="53">
        <f t="shared" si="5"/>
        <v>1994</v>
      </c>
      <c r="E153" s="53">
        <f t="shared" si="6"/>
        <v>1941.8000000000002</v>
      </c>
    </row>
    <row r="154" spans="1:5" x14ac:dyDescent="0.3">
      <c r="A154" s="53" t="s">
        <v>257</v>
      </c>
      <c r="B154" s="53">
        <v>23.7</v>
      </c>
      <c r="D154" s="53">
        <f t="shared" si="5"/>
        <v>1994</v>
      </c>
      <c r="E154" s="53">
        <f t="shared" si="6"/>
        <v>1941.8000000000002</v>
      </c>
    </row>
    <row r="155" spans="1:5" x14ac:dyDescent="0.3">
      <c r="A155" s="53" t="s">
        <v>258</v>
      </c>
      <c r="B155" s="53">
        <v>84.7</v>
      </c>
      <c r="D155" s="53">
        <f t="shared" si="5"/>
        <v>1994</v>
      </c>
      <c r="E155" s="53">
        <f t="shared" si="6"/>
        <v>1941.8000000000002</v>
      </c>
    </row>
    <row r="156" spans="1:5" x14ac:dyDescent="0.3">
      <c r="A156" s="53" t="s">
        <v>259</v>
      </c>
      <c r="B156" s="53">
        <v>322.2</v>
      </c>
      <c r="D156" s="53">
        <f t="shared" si="5"/>
        <v>1994</v>
      </c>
      <c r="E156" s="53">
        <f t="shared" si="6"/>
        <v>1941.8000000000002</v>
      </c>
    </row>
    <row r="157" spans="1:5" x14ac:dyDescent="0.3">
      <c r="A157" s="53" t="s">
        <v>260</v>
      </c>
      <c r="B157" s="53">
        <v>425.4</v>
      </c>
      <c r="D157" s="53">
        <f t="shared" si="5"/>
        <v>1994</v>
      </c>
      <c r="E157" s="53">
        <f t="shared" si="6"/>
        <v>1941.8000000000002</v>
      </c>
    </row>
    <row r="158" spans="1:5" x14ac:dyDescent="0.3">
      <c r="A158" s="53" t="s">
        <v>261</v>
      </c>
      <c r="B158" s="53">
        <v>349.4</v>
      </c>
      <c r="D158" s="53">
        <f t="shared" si="5"/>
        <v>1995</v>
      </c>
      <c r="E158" s="53">
        <f t="shared" si="6"/>
        <v>2332.6</v>
      </c>
    </row>
    <row r="159" spans="1:5" x14ac:dyDescent="0.3">
      <c r="A159" s="53" t="s">
        <v>262</v>
      </c>
      <c r="B159" s="53">
        <v>334</v>
      </c>
      <c r="D159" s="53">
        <f t="shared" si="5"/>
        <v>1995</v>
      </c>
      <c r="E159" s="53">
        <f t="shared" si="6"/>
        <v>2332.6</v>
      </c>
    </row>
    <row r="160" spans="1:5" x14ac:dyDescent="0.3">
      <c r="A160" s="53" t="s">
        <v>263</v>
      </c>
      <c r="B160" s="53">
        <v>67.7</v>
      </c>
      <c r="D160" s="53">
        <f t="shared" si="5"/>
        <v>1995</v>
      </c>
      <c r="E160" s="53">
        <f t="shared" si="6"/>
        <v>2332.6</v>
      </c>
    </row>
    <row r="161" spans="1:5" x14ac:dyDescent="0.3">
      <c r="A161" s="53" t="s">
        <v>264</v>
      </c>
      <c r="B161" s="53">
        <v>242.3</v>
      </c>
      <c r="D161" s="53">
        <f t="shared" si="5"/>
        <v>1995</v>
      </c>
      <c r="E161" s="53">
        <f t="shared" si="6"/>
        <v>2332.6</v>
      </c>
    </row>
    <row r="162" spans="1:5" x14ac:dyDescent="0.3">
      <c r="A162" s="53" t="s">
        <v>265</v>
      </c>
      <c r="B162" s="53">
        <v>84.4</v>
      </c>
      <c r="D162" s="53">
        <f t="shared" si="5"/>
        <v>1995</v>
      </c>
      <c r="E162" s="53">
        <f t="shared" si="6"/>
        <v>2332.6</v>
      </c>
    </row>
    <row r="163" spans="1:5" x14ac:dyDescent="0.3">
      <c r="A163" s="53" t="s">
        <v>266</v>
      </c>
      <c r="B163" s="53">
        <v>63.7</v>
      </c>
      <c r="D163" s="53">
        <f t="shared" si="5"/>
        <v>1995</v>
      </c>
      <c r="E163" s="53">
        <f t="shared" si="6"/>
        <v>2332.6</v>
      </c>
    </row>
    <row r="164" spans="1:5" x14ac:dyDescent="0.3">
      <c r="A164" s="53" t="s">
        <v>267</v>
      </c>
      <c r="B164" s="53">
        <v>173.6</v>
      </c>
      <c r="D164" s="53">
        <f t="shared" si="5"/>
        <v>1995</v>
      </c>
      <c r="E164" s="53">
        <f t="shared" si="6"/>
        <v>2332.6</v>
      </c>
    </row>
    <row r="165" spans="1:5" x14ac:dyDescent="0.3">
      <c r="A165" s="53" t="s">
        <v>268</v>
      </c>
      <c r="B165" s="53">
        <v>211.6</v>
      </c>
      <c r="D165" s="53">
        <f t="shared" si="5"/>
        <v>1995</v>
      </c>
      <c r="E165" s="53">
        <f t="shared" si="6"/>
        <v>2332.6</v>
      </c>
    </row>
    <row r="166" spans="1:5" x14ac:dyDescent="0.3">
      <c r="A166" s="53" t="s">
        <v>269</v>
      </c>
      <c r="B166" s="53">
        <v>29.5</v>
      </c>
      <c r="D166" s="53">
        <f t="shared" si="5"/>
        <v>1995</v>
      </c>
      <c r="E166" s="53">
        <f t="shared" si="6"/>
        <v>2332.6</v>
      </c>
    </row>
    <row r="167" spans="1:5" x14ac:dyDescent="0.3">
      <c r="A167" s="53" t="s">
        <v>270</v>
      </c>
      <c r="B167" s="53">
        <v>101.1</v>
      </c>
      <c r="D167" s="53">
        <f t="shared" si="5"/>
        <v>1995</v>
      </c>
      <c r="E167" s="53">
        <f t="shared" si="6"/>
        <v>2332.6</v>
      </c>
    </row>
    <row r="168" spans="1:5" x14ac:dyDescent="0.3">
      <c r="A168" s="53" t="s">
        <v>271</v>
      </c>
      <c r="B168" s="53">
        <v>372.8</v>
      </c>
      <c r="D168" s="53">
        <f t="shared" si="5"/>
        <v>1995</v>
      </c>
      <c r="E168" s="53">
        <f t="shared" si="6"/>
        <v>2332.6</v>
      </c>
    </row>
    <row r="169" spans="1:5" x14ac:dyDescent="0.3">
      <c r="A169" s="53" t="s">
        <v>272</v>
      </c>
      <c r="B169" s="53">
        <v>302.5</v>
      </c>
      <c r="D169" s="53">
        <f t="shared" si="5"/>
        <v>1995</v>
      </c>
      <c r="E169" s="53">
        <f t="shared" si="6"/>
        <v>2332.6</v>
      </c>
    </row>
    <row r="170" spans="1:5" x14ac:dyDescent="0.3">
      <c r="A170" s="53" t="s">
        <v>273</v>
      </c>
      <c r="B170" s="53">
        <v>173.2</v>
      </c>
      <c r="D170" s="53">
        <f t="shared" si="5"/>
        <v>1996</v>
      </c>
      <c r="E170" s="53">
        <f t="shared" si="6"/>
        <v>2417.9999999999995</v>
      </c>
    </row>
    <row r="171" spans="1:5" x14ac:dyDescent="0.3">
      <c r="A171" s="53" t="s">
        <v>274</v>
      </c>
      <c r="B171" s="53">
        <v>180.2</v>
      </c>
      <c r="D171" s="53">
        <f t="shared" si="5"/>
        <v>1996</v>
      </c>
      <c r="E171" s="53">
        <f t="shared" si="6"/>
        <v>2417.9999999999995</v>
      </c>
    </row>
    <row r="172" spans="1:5" x14ac:dyDescent="0.3">
      <c r="A172" s="53" t="s">
        <v>275</v>
      </c>
      <c r="B172" s="53">
        <v>129.69999999999999</v>
      </c>
      <c r="D172" s="53">
        <f t="shared" si="5"/>
        <v>1996</v>
      </c>
      <c r="E172" s="53">
        <f t="shared" si="6"/>
        <v>2417.9999999999995</v>
      </c>
    </row>
    <row r="173" spans="1:5" x14ac:dyDescent="0.3">
      <c r="A173" s="53" t="s">
        <v>276</v>
      </c>
      <c r="B173" s="53">
        <v>178.2</v>
      </c>
      <c r="D173" s="53">
        <f t="shared" si="5"/>
        <v>1996</v>
      </c>
      <c r="E173" s="53">
        <f t="shared" si="6"/>
        <v>2417.9999999999995</v>
      </c>
    </row>
    <row r="174" spans="1:5" x14ac:dyDescent="0.3">
      <c r="A174" s="53" t="s">
        <v>277</v>
      </c>
      <c r="B174" s="53">
        <v>107.5</v>
      </c>
      <c r="D174" s="53">
        <f t="shared" si="5"/>
        <v>1996</v>
      </c>
      <c r="E174" s="53">
        <f t="shared" si="6"/>
        <v>2417.9999999999995</v>
      </c>
    </row>
    <row r="175" spans="1:5" x14ac:dyDescent="0.3">
      <c r="A175" s="53" t="s">
        <v>278</v>
      </c>
      <c r="B175" s="53">
        <v>265.8</v>
      </c>
      <c r="D175" s="53">
        <f t="shared" si="5"/>
        <v>1996</v>
      </c>
      <c r="E175" s="53">
        <f t="shared" si="6"/>
        <v>2417.9999999999995</v>
      </c>
    </row>
    <row r="176" spans="1:5" x14ac:dyDescent="0.3">
      <c r="A176" s="53" t="s">
        <v>279</v>
      </c>
      <c r="B176" s="53">
        <v>162.30000000000001</v>
      </c>
      <c r="D176" s="53">
        <f t="shared" si="5"/>
        <v>1996</v>
      </c>
      <c r="E176" s="53">
        <f t="shared" si="6"/>
        <v>2417.9999999999995</v>
      </c>
    </row>
    <row r="177" spans="1:5" x14ac:dyDescent="0.3">
      <c r="A177" s="53" t="s">
        <v>280</v>
      </c>
      <c r="B177" s="53">
        <v>258.39999999999998</v>
      </c>
      <c r="D177" s="53">
        <f t="shared" si="5"/>
        <v>1996</v>
      </c>
      <c r="E177" s="53">
        <f t="shared" si="6"/>
        <v>2417.9999999999995</v>
      </c>
    </row>
    <row r="178" spans="1:5" x14ac:dyDescent="0.3">
      <c r="A178" s="53" t="s">
        <v>281</v>
      </c>
      <c r="B178" s="53">
        <v>297</v>
      </c>
      <c r="D178" s="53">
        <f t="shared" si="5"/>
        <v>1996</v>
      </c>
      <c r="E178" s="53">
        <f t="shared" si="6"/>
        <v>2417.9999999999995</v>
      </c>
    </row>
    <row r="179" spans="1:5" x14ac:dyDescent="0.3">
      <c r="A179" s="53" t="s">
        <v>282</v>
      </c>
      <c r="B179" s="53">
        <v>300</v>
      </c>
      <c r="D179" s="53">
        <f t="shared" si="5"/>
        <v>1996</v>
      </c>
      <c r="E179" s="53">
        <f t="shared" si="6"/>
        <v>2417.9999999999995</v>
      </c>
    </row>
    <row r="180" spans="1:5" x14ac:dyDescent="0.3">
      <c r="A180" s="53" t="s">
        <v>283</v>
      </c>
      <c r="B180" s="53">
        <v>180.2</v>
      </c>
      <c r="D180" s="53">
        <f t="shared" si="5"/>
        <v>1996</v>
      </c>
      <c r="E180" s="53">
        <f t="shared" si="6"/>
        <v>2417.9999999999995</v>
      </c>
    </row>
    <row r="181" spans="1:5" x14ac:dyDescent="0.3">
      <c r="A181" s="53" t="s">
        <v>284</v>
      </c>
      <c r="B181" s="53">
        <v>185.5</v>
      </c>
      <c r="D181" s="53">
        <f t="shared" si="5"/>
        <v>1996</v>
      </c>
      <c r="E181" s="53">
        <f t="shared" si="6"/>
        <v>2417.9999999999995</v>
      </c>
    </row>
    <row r="182" spans="1:5" x14ac:dyDescent="0.3">
      <c r="A182" s="53" t="s">
        <v>285</v>
      </c>
      <c r="B182" s="53">
        <v>15.4</v>
      </c>
      <c r="D182" s="53">
        <f t="shared" si="5"/>
        <v>1997</v>
      </c>
      <c r="E182" s="53">
        <f t="shared" si="6"/>
        <v>1118.9000000000001</v>
      </c>
    </row>
    <row r="183" spans="1:5" x14ac:dyDescent="0.3">
      <c r="A183" s="53" t="s">
        <v>286</v>
      </c>
      <c r="B183" s="53">
        <v>105.4</v>
      </c>
      <c r="D183" s="53">
        <f t="shared" si="5"/>
        <v>1997</v>
      </c>
      <c r="E183" s="53">
        <f t="shared" si="6"/>
        <v>1118.9000000000001</v>
      </c>
    </row>
    <row r="184" spans="1:5" x14ac:dyDescent="0.3">
      <c r="A184" s="53" t="s">
        <v>287</v>
      </c>
      <c r="B184" s="53">
        <v>34.299999999999997</v>
      </c>
      <c r="D184" s="53">
        <f t="shared" si="5"/>
        <v>1997</v>
      </c>
      <c r="E184" s="53">
        <f t="shared" si="6"/>
        <v>1118.9000000000001</v>
      </c>
    </row>
    <row r="185" spans="1:5" x14ac:dyDescent="0.3">
      <c r="A185" s="53" t="s">
        <v>288</v>
      </c>
      <c r="B185" s="53">
        <v>118.4</v>
      </c>
      <c r="D185" s="53">
        <f t="shared" si="5"/>
        <v>1997</v>
      </c>
      <c r="E185" s="53">
        <f t="shared" si="6"/>
        <v>1118.9000000000001</v>
      </c>
    </row>
    <row r="186" spans="1:5" x14ac:dyDescent="0.3">
      <c r="A186" s="53" t="s">
        <v>289</v>
      </c>
      <c r="B186" s="53">
        <v>41.6</v>
      </c>
      <c r="D186" s="53">
        <f t="shared" si="5"/>
        <v>1997</v>
      </c>
      <c r="E186" s="53">
        <f t="shared" si="6"/>
        <v>1118.9000000000001</v>
      </c>
    </row>
    <row r="187" spans="1:5" x14ac:dyDescent="0.3">
      <c r="A187" s="53" t="s">
        <v>290</v>
      </c>
      <c r="B187" s="53">
        <v>78.900000000000006</v>
      </c>
      <c r="D187" s="53">
        <f t="shared" si="5"/>
        <v>1997</v>
      </c>
      <c r="E187" s="53">
        <f t="shared" si="6"/>
        <v>1118.9000000000001</v>
      </c>
    </row>
    <row r="188" spans="1:5" x14ac:dyDescent="0.3">
      <c r="A188" s="53" t="s">
        <v>291</v>
      </c>
      <c r="B188" s="53">
        <v>18.600000000000001</v>
      </c>
      <c r="D188" s="53">
        <f t="shared" si="5"/>
        <v>1997</v>
      </c>
      <c r="E188" s="53">
        <f t="shared" si="6"/>
        <v>1118.9000000000001</v>
      </c>
    </row>
    <row r="189" spans="1:5" x14ac:dyDescent="0.3">
      <c r="A189" s="53" t="s">
        <v>292</v>
      </c>
      <c r="B189" s="53">
        <v>86.6</v>
      </c>
      <c r="D189" s="53">
        <f t="shared" si="5"/>
        <v>1997</v>
      </c>
      <c r="E189" s="53">
        <f t="shared" si="6"/>
        <v>1118.9000000000001</v>
      </c>
    </row>
    <row r="190" spans="1:5" x14ac:dyDescent="0.3">
      <c r="A190" s="53" t="s">
        <v>293</v>
      </c>
      <c r="B190" s="53">
        <v>31.1</v>
      </c>
      <c r="D190" s="53">
        <f t="shared" si="5"/>
        <v>1997</v>
      </c>
      <c r="E190" s="53">
        <f t="shared" si="6"/>
        <v>1118.9000000000001</v>
      </c>
    </row>
    <row r="191" spans="1:5" x14ac:dyDescent="0.3">
      <c r="A191" s="53" t="s">
        <v>294</v>
      </c>
      <c r="B191" s="53">
        <v>78.400000000000006</v>
      </c>
      <c r="D191" s="53">
        <f t="shared" si="5"/>
        <v>1997</v>
      </c>
      <c r="E191" s="53">
        <f t="shared" si="6"/>
        <v>1118.9000000000001</v>
      </c>
    </row>
    <row r="192" spans="1:5" x14ac:dyDescent="0.3">
      <c r="A192" s="53" t="s">
        <v>295</v>
      </c>
      <c r="B192" s="53">
        <v>158.30000000000001</v>
      </c>
      <c r="D192" s="53">
        <f t="shared" si="5"/>
        <v>1997</v>
      </c>
      <c r="E192" s="53">
        <f t="shared" si="6"/>
        <v>1118.9000000000001</v>
      </c>
    </row>
    <row r="193" spans="1:5" x14ac:dyDescent="0.3">
      <c r="A193" s="53" t="s">
        <v>296</v>
      </c>
      <c r="B193" s="53">
        <v>351.9</v>
      </c>
      <c r="D193" s="53">
        <f t="shared" si="5"/>
        <v>1997</v>
      </c>
      <c r="E193" s="53">
        <f t="shared" si="6"/>
        <v>1118.9000000000001</v>
      </c>
    </row>
    <row r="194" spans="1:5" x14ac:dyDescent="0.3">
      <c r="A194" s="53" t="s">
        <v>297</v>
      </c>
      <c r="B194" s="53">
        <v>268.8</v>
      </c>
      <c r="D194" s="53">
        <f t="shared" ref="D194:D257" si="7">YEAR(DATEVALUE(A194 &amp; "-01"))</f>
        <v>1998</v>
      </c>
      <c r="E194" s="53">
        <f t="shared" ref="E194:E257" si="8">SUMIFS($B:$B,$D:$D,D194)</f>
        <v>2623.1</v>
      </c>
    </row>
    <row r="195" spans="1:5" x14ac:dyDescent="0.3">
      <c r="A195" s="53" t="s">
        <v>298</v>
      </c>
      <c r="B195" s="53">
        <v>32.5</v>
      </c>
      <c r="D195" s="53">
        <f t="shared" si="7"/>
        <v>1998</v>
      </c>
      <c r="E195" s="53">
        <f t="shared" si="8"/>
        <v>2623.1</v>
      </c>
    </row>
    <row r="196" spans="1:5" x14ac:dyDescent="0.3">
      <c r="A196" s="53" t="s">
        <v>299</v>
      </c>
      <c r="B196" s="53">
        <v>58.8</v>
      </c>
      <c r="D196" s="53">
        <f t="shared" si="7"/>
        <v>1998</v>
      </c>
      <c r="E196" s="53">
        <f t="shared" si="8"/>
        <v>2623.1</v>
      </c>
    </row>
    <row r="197" spans="1:5" x14ac:dyDescent="0.3">
      <c r="A197" s="53" t="s">
        <v>300</v>
      </c>
      <c r="B197" s="53">
        <v>187.7</v>
      </c>
      <c r="D197" s="53">
        <f t="shared" si="7"/>
        <v>1998</v>
      </c>
      <c r="E197" s="53">
        <f t="shared" si="8"/>
        <v>2623.1</v>
      </c>
    </row>
    <row r="198" spans="1:5" x14ac:dyDescent="0.3">
      <c r="A198" s="53" t="s">
        <v>301</v>
      </c>
      <c r="B198" s="53">
        <v>370.8</v>
      </c>
      <c r="D198" s="53">
        <f t="shared" si="7"/>
        <v>1998</v>
      </c>
      <c r="E198" s="53">
        <f t="shared" si="8"/>
        <v>2623.1</v>
      </c>
    </row>
    <row r="199" spans="1:5" x14ac:dyDescent="0.3">
      <c r="A199" s="53" t="s">
        <v>302</v>
      </c>
      <c r="B199" s="53">
        <v>198.8</v>
      </c>
      <c r="D199" s="53">
        <f t="shared" si="7"/>
        <v>1998</v>
      </c>
      <c r="E199" s="53">
        <f t="shared" si="8"/>
        <v>2623.1</v>
      </c>
    </row>
    <row r="200" spans="1:5" x14ac:dyDescent="0.3">
      <c r="A200" s="53" t="s">
        <v>303</v>
      </c>
      <c r="B200" s="53">
        <v>259.2</v>
      </c>
      <c r="D200" s="53">
        <f t="shared" si="7"/>
        <v>1998</v>
      </c>
      <c r="E200" s="53">
        <f t="shared" si="8"/>
        <v>2623.1</v>
      </c>
    </row>
    <row r="201" spans="1:5" x14ac:dyDescent="0.3">
      <c r="A201" s="53" t="s">
        <v>304</v>
      </c>
      <c r="B201" s="53">
        <v>195</v>
      </c>
      <c r="D201" s="53">
        <f t="shared" si="7"/>
        <v>1998</v>
      </c>
      <c r="E201" s="53">
        <f t="shared" si="8"/>
        <v>2623.1</v>
      </c>
    </row>
    <row r="202" spans="1:5" x14ac:dyDescent="0.3">
      <c r="A202" s="53" t="s">
        <v>305</v>
      </c>
      <c r="B202" s="53">
        <v>258.2</v>
      </c>
      <c r="D202" s="53">
        <f t="shared" si="7"/>
        <v>1998</v>
      </c>
      <c r="E202" s="53">
        <f t="shared" si="8"/>
        <v>2623.1</v>
      </c>
    </row>
    <row r="203" spans="1:5" x14ac:dyDescent="0.3">
      <c r="A203" s="53" t="s">
        <v>306</v>
      </c>
      <c r="B203" s="53">
        <v>222.7</v>
      </c>
      <c r="D203" s="53">
        <f t="shared" si="7"/>
        <v>1998</v>
      </c>
      <c r="E203" s="53">
        <f t="shared" si="8"/>
        <v>2623.1</v>
      </c>
    </row>
    <row r="204" spans="1:5" x14ac:dyDescent="0.3">
      <c r="A204" s="53" t="s">
        <v>307</v>
      </c>
      <c r="B204" s="53">
        <v>107.2</v>
      </c>
      <c r="D204" s="53">
        <f t="shared" si="7"/>
        <v>1998</v>
      </c>
      <c r="E204" s="53">
        <f t="shared" si="8"/>
        <v>2623.1</v>
      </c>
    </row>
    <row r="205" spans="1:5" x14ac:dyDescent="0.3">
      <c r="A205" s="53" t="s">
        <v>308</v>
      </c>
      <c r="B205" s="53">
        <v>463.4</v>
      </c>
      <c r="D205" s="53">
        <f t="shared" si="7"/>
        <v>1998</v>
      </c>
      <c r="E205" s="53">
        <f t="shared" si="8"/>
        <v>2623.1</v>
      </c>
    </row>
    <row r="206" spans="1:5" x14ac:dyDescent="0.3">
      <c r="A206" s="53" t="s">
        <v>309</v>
      </c>
      <c r="B206" s="53">
        <v>193.9</v>
      </c>
      <c r="D206" s="53">
        <f t="shared" si="7"/>
        <v>1999</v>
      </c>
      <c r="E206" s="53">
        <f t="shared" si="8"/>
        <v>2134</v>
      </c>
    </row>
    <row r="207" spans="1:5" x14ac:dyDescent="0.3">
      <c r="A207" s="53" t="s">
        <v>310</v>
      </c>
      <c r="B207" s="53">
        <v>67.400000000000006</v>
      </c>
      <c r="D207" s="53">
        <f t="shared" si="7"/>
        <v>1999</v>
      </c>
      <c r="E207" s="53">
        <f t="shared" si="8"/>
        <v>2134</v>
      </c>
    </row>
    <row r="208" spans="1:5" x14ac:dyDescent="0.3">
      <c r="A208" s="53" t="s">
        <v>311</v>
      </c>
      <c r="B208" s="53">
        <v>181.4</v>
      </c>
      <c r="D208" s="53">
        <f t="shared" si="7"/>
        <v>1999</v>
      </c>
      <c r="E208" s="53">
        <f t="shared" si="8"/>
        <v>2134</v>
      </c>
    </row>
    <row r="209" spans="1:5" x14ac:dyDescent="0.3">
      <c r="A209" s="53" t="s">
        <v>312</v>
      </c>
      <c r="B209" s="53">
        <v>88.5</v>
      </c>
      <c r="D209" s="53">
        <f t="shared" si="7"/>
        <v>1999</v>
      </c>
      <c r="E209" s="53">
        <f t="shared" si="8"/>
        <v>2134</v>
      </c>
    </row>
    <row r="210" spans="1:5" x14ac:dyDescent="0.3">
      <c r="A210" s="53" t="s">
        <v>313</v>
      </c>
      <c r="B210" s="53">
        <v>157.1</v>
      </c>
      <c r="D210" s="53">
        <f t="shared" si="7"/>
        <v>1999</v>
      </c>
      <c r="E210" s="53">
        <f t="shared" si="8"/>
        <v>2134</v>
      </c>
    </row>
    <row r="211" spans="1:5" x14ac:dyDescent="0.3">
      <c r="A211" s="53" t="s">
        <v>314</v>
      </c>
      <c r="B211" s="53">
        <v>103.4</v>
      </c>
      <c r="D211" s="53">
        <f t="shared" si="7"/>
        <v>1999</v>
      </c>
      <c r="E211" s="53">
        <f t="shared" si="8"/>
        <v>2134</v>
      </c>
    </row>
    <row r="212" spans="1:5" x14ac:dyDescent="0.3">
      <c r="A212" s="53" t="s">
        <v>315</v>
      </c>
      <c r="B212" s="53">
        <v>225.4</v>
      </c>
      <c r="D212" s="53">
        <f t="shared" si="7"/>
        <v>1999</v>
      </c>
      <c r="E212" s="53">
        <f t="shared" si="8"/>
        <v>2134</v>
      </c>
    </row>
    <row r="213" spans="1:5" x14ac:dyDescent="0.3">
      <c r="A213" s="53" t="s">
        <v>316</v>
      </c>
      <c r="B213" s="53">
        <v>204</v>
      </c>
      <c r="D213" s="53">
        <f t="shared" si="7"/>
        <v>1999</v>
      </c>
      <c r="E213" s="53">
        <f t="shared" si="8"/>
        <v>2134</v>
      </c>
    </row>
    <row r="214" spans="1:5" x14ac:dyDescent="0.3">
      <c r="A214" s="53" t="s">
        <v>317</v>
      </c>
      <c r="B214" s="53">
        <v>125.9</v>
      </c>
      <c r="D214" s="53">
        <f t="shared" si="7"/>
        <v>1999</v>
      </c>
      <c r="E214" s="53">
        <f t="shared" si="8"/>
        <v>2134</v>
      </c>
    </row>
    <row r="215" spans="1:5" x14ac:dyDescent="0.3">
      <c r="A215" s="53" t="s">
        <v>318</v>
      </c>
      <c r="B215" s="53">
        <v>205</v>
      </c>
      <c r="D215" s="53">
        <f t="shared" si="7"/>
        <v>1999</v>
      </c>
      <c r="E215" s="53">
        <f t="shared" si="8"/>
        <v>2134</v>
      </c>
    </row>
    <row r="216" spans="1:5" x14ac:dyDescent="0.3">
      <c r="A216" s="53" t="s">
        <v>319</v>
      </c>
      <c r="B216" s="53">
        <v>241.5</v>
      </c>
      <c r="D216" s="53">
        <f t="shared" si="7"/>
        <v>1999</v>
      </c>
      <c r="E216" s="53">
        <f t="shared" si="8"/>
        <v>2134</v>
      </c>
    </row>
    <row r="217" spans="1:5" x14ac:dyDescent="0.3">
      <c r="A217" s="53" t="s">
        <v>320</v>
      </c>
      <c r="B217" s="53">
        <v>340.5</v>
      </c>
      <c r="D217" s="53">
        <f t="shared" si="7"/>
        <v>1999</v>
      </c>
      <c r="E217" s="53">
        <f t="shared" si="8"/>
        <v>2134</v>
      </c>
    </row>
    <row r="218" spans="1:5" x14ac:dyDescent="0.3">
      <c r="A218" s="53" t="s">
        <v>321</v>
      </c>
      <c r="B218" s="53">
        <v>275.2</v>
      </c>
      <c r="D218" s="53">
        <f t="shared" si="7"/>
        <v>2000</v>
      </c>
      <c r="E218" s="53">
        <f t="shared" si="8"/>
        <v>2370.5</v>
      </c>
    </row>
    <row r="219" spans="1:5" x14ac:dyDescent="0.3">
      <c r="A219" s="53" t="s">
        <v>322</v>
      </c>
      <c r="B219" s="53">
        <v>237.8</v>
      </c>
      <c r="D219" s="53">
        <f t="shared" si="7"/>
        <v>2000</v>
      </c>
      <c r="E219" s="53">
        <f t="shared" si="8"/>
        <v>2370.5</v>
      </c>
    </row>
    <row r="220" spans="1:5" x14ac:dyDescent="0.3">
      <c r="A220" s="53" t="s">
        <v>323</v>
      </c>
      <c r="B220" s="53">
        <v>238.3</v>
      </c>
      <c r="D220" s="53">
        <f t="shared" si="7"/>
        <v>2000</v>
      </c>
      <c r="E220" s="53">
        <f t="shared" si="8"/>
        <v>2370.5</v>
      </c>
    </row>
    <row r="221" spans="1:5" x14ac:dyDescent="0.3">
      <c r="A221" s="53" t="s">
        <v>324</v>
      </c>
      <c r="B221" s="53">
        <v>311.60000000000002</v>
      </c>
      <c r="D221" s="53">
        <f t="shared" si="7"/>
        <v>2000</v>
      </c>
      <c r="E221" s="53">
        <f t="shared" si="8"/>
        <v>2370.5</v>
      </c>
    </row>
    <row r="222" spans="1:5" x14ac:dyDescent="0.3">
      <c r="A222" s="53" t="s">
        <v>325</v>
      </c>
      <c r="B222" s="53">
        <v>96.8</v>
      </c>
      <c r="D222" s="53">
        <f t="shared" si="7"/>
        <v>2000</v>
      </c>
      <c r="E222" s="53">
        <f t="shared" si="8"/>
        <v>2370.5</v>
      </c>
    </row>
    <row r="223" spans="1:5" x14ac:dyDescent="0.3">
      <c r="A223" s="53" t="s">
        <v>326</v>
      </c>
      <c r="B223" s="53">
        <v>157.5</v>
      </c>
      <c r="D223" s="53">
        <f t="shared" si="7"/>
        <v>2000</v>
      </c>
      <c r="E223" s="53">
        <f t="shared" si="8"/>
        <v>2370.5</v>
      </c>
    </row>
    <row r="224" spans="1:5" x14ac:dyDescent="0.3">
      <c r="A224" s="53" t="s">
        <v>327</v>
      </c>
      <c r="B224" s="53">
        <v>116.1</v>
      </c>
      <c r="D224" s="53">
        <f t="shared" si="7"/>
        <v>2000</v>
      </c>
      <c r="E224" s="53">
        <f t="shared" si="8"/>
        <v>2370.5</v>
      </c>
    </row>
    <row r="225" spans="1:5" x14ac:dyDescent="0.3">
      <c r="A225" s="53" t="s">
        <v>328</v>
      </c>
      <c r="B225" s="53">
        <v>113.5</v>
      </c>
      <c r="D225" s="53">
        <f t="shared" si="7"/>
        <v>2000</v>
      </c>
      <c r="E225" s="53">
        <f t="shared" si="8"/>
        <v>2370.5</v>
      </c>
    </row>
    <row r="226" spans="1:5" x14ac:dyDescent="0.3">
      <c r="A226" s="53" t="s">
        <v>329</v>
      </c>
      <c r="B226" s="53">
        <v>81.099999999999994</v>
      </c>
      <c r="D226" s="53">
        <f t="shared" si="7"/>
        <v>2000</v>
      </c>
      <c r="E226" s="53">
        <f t="shared" si="8"/>
        <v>2370.5</v>
      </c>
    </row>
    <row r="227" spans="1:5" x14ac:dyDescent="0.3">
      <c r="A227" s="53" t="s">
        <v>330</v>
      </c>
      <c r="B227" s="53">
        <v>120.9</v>
      </c>
      <c r="D227" s="53">
        <f t="shared" si="7"/>
        <v>2000</v>
      </c>
      <c r="E227" s="53">
        <f t="shared" si="8"/>
        <v>2370.5</v>
      </c>
    </row>
    <row r="228" spans="1:5" x14ac:dyDescent="0.3">
      <c r="A228" s="53" t="s">
        <v>331</v>
      </c>
      <c r="B228" s="53">
        <v>385.7</v>
      </c>
      <c r="D228" s="53">
        <f t="shared" si="7"/>
        <v>2000</v>
      </c>
      <c r="E228" s="53">
        <f t="shared" si="8"/>
        <v>2370.5</v>
      </c>
    </row>
    <row r="229" spans="1:5" x14ac:dyDescent="0.3">
      <c r="A229" s="53" t="s">
        <v>332</v>
      </c>
      <c r="B229" s="53">
        <v>236</v>
      </c>
      <c r="D229" s="53">
        <f t="shared" si="7"/>
        <v>2000</v>
      </c>
      <c r="E229" s="53">
        <f t="shared" si="8"/>
        <v>2370.5</v>
      </c>
    </row>
    <row r="230" spans="1:5" x14ac:dyDescent="0.3">
      <c r="A230" s="53" t="s">
        <v>333</v>
      </c>
      <c r="B230" s="53">
        <v>425.8</v>
      </c>
      <c r="D230" s="53">
        <f t="shared" si="7"/>
        <v>2001</v>
      </c>
      <c r="E230" s="53">
        <f t="shared" si="8"/>
        <v>2783.1</v>
      </c>
    </row>
    <row r="231" spans="1:5" x14ac:dyDescent="0.3">
      <c r="A231" s="53" t="s">
        <v>334</v>
      </c>
      <c r="B231" s="53">
        <v>86.6</v>
      </c>
      <c r="D231" s="53">
        <f t="shared" si="7"/>
        <v>2001</v>
      </c>
      <c r="E231" s="53">
        <f t="shared" si="8"/>
        <v>2783.1</v>
      </c>
    </row>
    <row r="232" spans="1:5" x14ac:dyDescent="0.3">
      <c r="A232" s="53" t="s">
        <v>335</v>
      </c>
      <c r="B232" s="53">
        <v>297.3</v>
      </c>
      <c r="D232" s="53">
        <f t="shared" si="7"/>
        <v>2001</v>
      </c>
      <c r="E232" s="53">
        <f t="shared" si="8"/>
        <v>2783.1</v>
      </c>
    </row>
    <row r="233" spans="1:5" x14ac:dyDescent="0.3">
      <c r="A233" s="53" t="s">
        <v>336</v>
      </c>
      <c r="B233" s="53">
        <v>203.3</v>
      </c>
      <c r="D233" s="53">
        <f t="shared" si="7"/>
        <v>2001</v>
      </c>
      <c r="E233" s="53">
        <f t="shared" si="8"/>
        <v>2783.1</v>
      </c>
    </row>
    <row r="234" spans="1:5" x14ac:dyDescent="0.3">
      <c r="A234" s="53" t="s">
        <v>337</v>
      </c>
      <c r="B234" s="53">
        <v>164.9</v>
      </c>
      <c r="D234" s="53">
        <f t="shared" si="7"/>
        <v>2001</v>
      </c>
      <c r="E234" s="53">
        <f t="shared" si="8"/>
        <v>2783.1</v>
      </c>
    </row>
    <row r="235" spans="1:5" x14ac:dyDescent="0.3">
      <c r="A235" s="53" t="s">
        <v>338</v>
      </c>
      <c r="B235" s="53">
        <v>137.1</v>
      </c>
      <c r="D235" s="53">
        <f t="shared" si="7"/>
        <v>2001</v>
      </c>
      <c r="E235" s="53">
        <f t="shared" si="8"/>
        <v>2783.1</v>
      </c>
    </row>
    <row r="236" spans="1:5" x14ac:dyDescent="0.3">
      <c r="A236" s="53" t="s">
        <v>339</v>
      </c>
      <c r="B236" s="53">
        <v>111.3</v>
      </c>
      <c r="D236" s="53">
        <f t="shared" si="7"/>
        <v>2001</v>
      </c>
      <c r="E236" s="53">
        <f t="shared" si="8"/>
        <v>2783.1</v>
      </c>
    </row>
    <row r="237" spans="1:5" x14ac:dyDescent="0.3">
      <c r="A237" s="53" t="s">
        <v>340</v>
      </c>
      <c r="B237" s="53">
        <v>158.30000000000001</v>
      </c>
      <c r="D237" s="53">
        <f t="shared" si="7"/>
        <v>2001</v>
      </c>
      <c r="E237" s="53">
        <f t="shared" si="8"/>
        <v>2783.1</v>
      </c>
    </row>
    <row r="238" spans="1:5" x14ac:dyDescent="0.3">
      <c r="A238" s="53" t="s">
        <v>341</v>
      </c>
      <c r="B238" s="53">
        <v>162</v>
      </c>
      <c r="D238" s="53">
        <f t="shared" si="7"/>
        <v>2001</v>
      </c>
      <c r="E238" s="53">
        <f t="shared" si="8"/>
        <v>2783.1</v>
      </c>
    </row>
    <row r="239" spans="1:5" x14ac:dyDescent="0.3">
      <c r="A239" s="53" t="s">
        <v>342</v>
      </c>
      <c r="B239" s="53">
        <v>252.2</v>
      </c>
      <c r="D239" s="53">
        <f t="shared" si="7"/>
        <v>2001</v>
      </c>
      <c r="E239" s="53">
        <f t="shared" si="8"/>
        <v>2783.1</v>
      </c>
    </row>
    <row r="240" spans="1:5" x14ac:dyDescent="0.3">
      <c r="A240" s="53" t="s">
        <v>343</v>
      </c>
      <c r="B240" s="53">
        <v>175.3</v>
      </c>
      <c r="D240" s="53">
        <f t="shared" si="7"/>
        <v>2001</v>
      </c>
      <c r="E240" s="53">
        <f t="shared" si="8"/>
        <v>2783.1</v>
      </c>
    </row>
    <row r="241" spans="1:5" x14ac:dyDescent="0.3">
      <c r="A241" s="53" t="s">
        <v>344</v>
      </c>
      <c r="B241" s="53">
        <v>609</v>
      </c>
      <c r="D241" s="53">
        <f t="shared" si="7"/>
        <v>2001</v>
      </c>
      <c r="E241" s="53">
        <f t="shared" si="8"/>
        <v>2783.1</v>
      </c>
    </row>
    <row r="242" spans="1:5" x14ac:dyDescent="0.3">
      <c r="A242" s="53" t="s">
        <v>345</v>
      </c>
      <c r="B242" s="53">
        <v>221.2</v>
      </c>
      <c r="D242" s="53">
        <f t="shared" si="7"/>
        <v>2002</v>
      </c>
      <c r="E242" s="53">
        <f t="shared" si="8"/>
        <v>1748.9</v>
      </c>
    </row>
    <row r="243" spans="1:5" x14ac:dyDescent="0.3">
      <c r="A243" s="53" t="s">
        <v>346</v>
      </c>
      <c r="B243" s="53">
        <v>50.8</v>
      </c>
      <c r="D243" s="53">
        <f t="shared" si="7"/>
        <v>2002</v>
      </c>
      <c r="E243" s="53">
        <f t="shared" si="8"/>
        <v>1748.9</v>
      </c>
    </row>
    <row r="244" spans="1:5" x14ac:dyDescent="0.3">
      <c r="A244" s="53" t="s">
        <v>347</v>
      </c>
      <c r="B244" s="53">
        <v>55.6</v>
      </c>
      <c r="D244" s="53">
        <f t="shared" si="7"/>
        <v>2002</v>
      </c>
      <c r="E244" s="53">
        <f t="shared" si="8"/>
        <v>1748.9</v>
      </c>
    </row>
    <row r="245" spans="1:5" x14ac:dyDescent="0.3">
      <c r="A245" s="53" t="s">
        <v>348</v>
      </c>
      <c r="B245" s="53">
        <v>116.5</v>
      </c>
      <c r="D245" s="53">
        <f t="shared" si="7"/>
        <v>2002</v>
      </c>
      <c r="E245" s="53">
        <f t="shared" si="8"/>
        <v>1748.9</v>
      </c>
    </row>
    <row r="246" spans="1:5" x14ac:dyDescent="0.3">
      <c r="A246" s="53" t="s">
        <v>349</v>
      </c>
      <c r="B246" s="53">
        <v>236.6</v>
      </c>
      <c r="D246" s="53">
        <f t="shared" si="7"/>
        <v>2002</v>
      </c>
      <c r="E246" s="53">
        <f t="shared" si="8"/>
        <v>1748.9</v>
      </c>
    </row>
    <row r="247" spans="1:5" x14ac:dyDescent="0.3">
      <c r="A247" s="53" t="s">
        <v>350</v>
      </c>
      <c r="B247" s="53">
        <v>83.1</v>
      </c>
      <c r="D247" s="53">
        <f t="shared" si="7"/>
        <v>2002</v>
      </c>
      <c r="E247" s="53">
        <f t="shared" si="8"/>
        <v>1748.9</v>
      </c>
    </row>
    <row r="248" spans="1:5" x14ac:dyDescent="0.3">
      <c r="A248" s="53" t="s">
        <v>351</v>
      </c>
      <c r="B248" s="53">
        <v>233.7</v>
      </c>
      <c r="D248" s="53">
        <f t="shared" si="7"/>
        <v>2002</v>
      </c>
      <c r="E248" s="53">
        <f t="shared" si="8"/>
        <v>1748.9</v>
      </c>
    </row>
    <row r="249" spans="1:5" x14ac:dyDescent="0.3">
      <c r="A249" s="53" t="s">
        <v>352</v>
      </c>
      <c r="B249" s="53">
        <v>54.2</v>
      </c>
      <c r="D249" s="53">
        <f t="shared" si="7"/>
        <v>2002</v>
      </c>
      <c r="E249" s="53">
        <f t="shared" si="8"/>
        <v>1748.9</v>
      </c>
    </row>
    <row r="250" spans="1:5" x14ac:dyDescent="0.3">
      <c r="A250" s="53" t="s">
        <v>353</v>
      </c>
      <c r="B250" s="53">
        <v>124.2</v>
      </c>
      <c r="D250" s="53">
        <f t="shared" si="7"/>
        <v>2002</v>
      </c>
      <c r="E250" s="53">
        <f t="shared" si="8"/>
        <v>1748.9</v>
      </c>
    </row>
    <row r="251" spans="1:5" x14ac:dyDescent="0.3">
      <c r="A251" s="53" t="s">
        <v>354</v>
      </c>
      <c r="B251" s="53">
        <v>10.8</v>
      </c>
      <c r="D251" s="53">
        <f t="shared" si="7"/>
        <v>2002</v>
      </c>
      <c r="E251" s="53">
        <f t="shared" si="8"/>
        <v>1748.9</v>
      </c>
    </row>
    <row r="252" spans="1:5" x14ac:dyDescent="0.3">
      <c r="A252" s="53" t="s">
        <v>355</v>
      </c>
      <c r="B252" s="53">
        <v>307.2</v>
      </c>
      <c r="D252" s="53">
        <f t="shared" si="7"/>
        <v>2002</v>
      </c>
      <c r="E252" s="53">
        <f t="shared" si="8"/>
        <v>1748.9</v>
      </c>
    </row>
    <row r="253" spans="1:5" x14ac:dyDescent="0.3">
      <c r="A253" s="53" t="s">
        <v>356</v>
      </c>
      <c r="B253" s="53">
        <v>255</v>
      </c>
      <c r="D253" s="53">
        <f t="shared" si="7"/>
        <v>2002</v>
      </c>
      <c r="E253" s="53">
        <f t="shared" si="8"/>
        <v>1748.9</v>
      </c>
    </row>
    <row r="254" spans="1:5" x14ac:dyDescent="0.3">
      <c r="A254" s="53" t="s">
        <v>357</v>
      </c>
      <c r="B254" s="53">
        <v>444.2</v>
      </c>
      <c r="D254" s="53">
        <f t="shared" si="7"/>
        <v>2003</v>
      </c>
      <c r="E254" s="53">
        <f t="shared" si="8"/>
        <v>2391.2000000000003</v>
      </c>
    </row>
    <row r="255" spans="1:5" x14ac:dyDescent="0.3">
      <c r="A255" s="53" t="s">
        <v>358</v>
      </c>
      <c r="B255" s="53">
        <v>172.9</v>
      </c>
      <c r="D255" s="53">
        <f t="shared" si="7"/>
        <v>2003</v>
      </c>
      <c r="E255" s="53">
        <f t="shared" si="8"/>
        <v>2391.2000000000003</v>
      </c>
    </row>
    <row r="256" spans="1:5" x14ac:dyDescent="0.3">
      <c r="A256" s="53" t="s">
        <v>359</v>
      </c>
      <c r="B256" s="53">
        <v>154.6</v>
      </c>
      <c r="D256" s="53">
        <f t="shared" si="7"/>
        <v>2003</v>
      </c>
      <c r="E256" s="53">
        <f t="shared" si="8"/>
        <v>2391.2000000000003</v>
      </c>
    </row>
    <row r="257" spans="1:5" x14ac:dyDescent="0.3">
      <c r="A257" s="53" t="s">
        <v>360</v>
      </c>
      <c r="B257" s="53">
        <v>159.9</v>
      </c>
      <c r="D257" s="53">
        <f t="shared" si="7"/>
        <v>2003</v>
      </c>
      <c r="E257" s="53">
        <f t="shared" si="8"/>
        <v>2391.2000000000003</v>
      </c>
    </row>
    <row r="258" spans="1:5" x14ac:dyDescent="0.3">
      <c r="A258" s="53" t="s">
        <v>361</v>
      </c>
      <c r="B258" s="53">
        <v>81.8</v>
      </c>
      <c r="D258" s="53">
        <f t="shared" ref="D258:D321" si="9">YEAR(DATEVALUE(A258 &amp; "-01"))</f>
        <v>2003</v>
      </c>
      <c r="E258" s="53">
        <f t="shared" ref="E258:E321" si="10">SUMIFS($B:$B,$D:$D,D258)</f>
        <v>2391.2000000000003</v>
      </c>
    </row>
    <row r="259" spans="1:5" x14ac:dyDescent="0.3">
      <c r="A259" s="53" t="s">
        <v>362</v>
      </c>
      <c r="B259" s="53">
        <v>50.3</v>
      </c>
      <c r="D259" s="53">
        <f t="shared" si="9"/>
        <v>2003</v>
      </c>
      <c r="E259" s="53">
        <f t="shared" si="10"/>
        <v>2391.2000000000003</v>
      </c>
    </row>
    <row r="260" spans="1:5" x14ac:dyDescent="0.3">
      <c r="A260" s="53" t="s">
        <v>363</v>
      </c>
      <c r="B260" s="53">
        <v>170.4</v>
      </c>
      <c r="D260" s="53">
        <f t="shared" si="9"/>
        <v>2003</v>
      </c>
      <c r="E260" s="53">
        <f t="shared" si="10"/>
        <v>2391.2000000000003</v>
      </c>
    </row>
    <row r="261" spans="1:5" x14ac:dyDescent="0.3">
      <c r="A261" s="53" t="s">
        <v>364</v>
      </c>
      <c r="B261" s="53">
        <v>193.6</v>
      </c>
      <c r="D261" s="53">
        <f t="shared" si="9"/>
        <v>2003</v>
      </c>
      <c r="E261" s="53">
        <f t="shared" si="10"/>
        <v>2391.2000000000003</v>
      </c>
    </row>
    <row r="262" spans="1:5" x14ac:dyDescent="0.3">
      <c r="A262" s="53" t="s">
        <v>365</v>
      </c>
      <c r="B262" s="53">
        <v>205.3</v>
      </c>
      <c r="D262" s="53">
        <f t="shared" si="9"/>
        <v>2003</v>
      </c>
      <c r="E262" s="53">
        <f t="shared" si="10"/>
        <v>2391.2000000000003</v>
      </c>
    </row>
    <row r="263" spans="1:5" x14ac:dyDescent="0.3">
      <c r="A263" s="53" t="s">
        <v>366</v>
      </c>
      <c r="B263" s="53">
        <v>351.4</v>
      </c>
      <c r="D263" s="53">
        <f t="shared" si="9"/>
        <v>2003</v>
      </c>
      <c r="E263" s="53">
        <f t="shared" si="10"/>
        <v>2391.2000000000003</v>
      </c>
    </row>
    <row r="264" spans="1:5" x14ac:dyDescent="0.3">
      <c r="A264" s="53" t="s">
        <v>367</v>
      </c>
      <c r="B264" s="53">
        <v>133.80000000000001</v>
      </c>
      <c r="D264" s="53">
        <f t="shared" si="9"/>
        <v>2003</v>
      </c>
      <c r="E264" s="53">
        <f t="shared" si="10"/>
        <v>2391.2000000000003</v>
      </c>
    </row>
    <row r="265" spans="1:5" x14ac:dyDescent="0.3">
      <c r="A265" s="53" t="s">
        <v>368</v>
      </c>
      <c r="B265" s="53">
        <v>273</v>
      </c>
      <c r="D265" s="53">
        <f t="shared" si="9"/>
        <v>2003</v>
      </c>
      <c r="E265" s="53">
        <f t="shared" si="10"/>
        <v>2391.2000000000003</v>
      </c>
    </row>
    <row r="266" spans="1:5" x14ac:dyDescent="0.3">
      <c r="A266" s="53" t="s">
        <v>369</v>
      </c>
      <c r="B266" s="53">
        <v>600.9</v>
      </c>
      <c r="D266" s="53">
        <f t="shared" si="9"/>
        <v>2004</v>
      </c>
      <c r="E266" s="53">
        <f t="shared" si="10"/>
        <v>2136.4</v>
      </c>
    </row>
    <row r="267" spans="1:5" x14ac:dyDescent="0.3">
      <c r="A267" s="53" t="s">
        <v>370</v>
      </c>
      <c r="B267" s="53">
        <v>31.9</v>
      </c>
      <c r="D267" s="53">
        <f t="shared" si="9"/>
        <v>2004</v>
      </c>
      <c r="E267" s="53">
        <f t="shared" si="10"/>
        <v>2136.4</v>
      </c>
    </row>
    <row r="268" spans="1:5" x14ac:dyDescent="0.3">
      <c r="A268" s="53" t="s">
        <v>371</v>
      </c>
      <c r="B268" s="53">
        <v>269.39999999999998</v>
      </c>
      <c r="D268" s="53">
        <f t="shared" si="9"/>
        <v>2004</v>
      </c>
      <c r="E268" s="53">
        <f t="shared" si="10"/>
        <v>2136.4</v>
      </c>
    </row>
    <row r="269" spans="1:5" x14ac:dyDescent="0.3">
      <c r="A269" s="53" t="s">
        <v>372</v>
      </c>
      <c r="B269" s="53">
        <v>57.1</v>
      </c>
      <c r="D269" s="53">
        <f t="shared" si="9"/>
        <v>2004</v>
      </c>
      <c r="E269" s="53">
        <f t="shared" si="10"/>
        <v>2136.4</v>
      </c>
    </row>
    <row r="270" spans="1:5" x14ac:dyDescent="0.3">
      <c r="A270" s="53" t="s">
        <v>373</v>
      </c>
      <c r="B270" s="53">
        <v>137.6</v>
      </c>
      <c r="D270" s="53">
        <f t="shared" si="9"/>
        <v>2004</v>
      </c>
      <c r="E270" s="53">
        <f t="shared" si="10"/>
        <v>2136.4</v>
      </c>
    </row>
    <row r="271" spans="1:5" x14ac:dyDescent="0.3">
      <c r="A271" s="53" t="s">
        <v>374</v>
      </c>
      <c r="B271" s="53">
        <v>127.2</v>
      </c>
      <c r="D271" s="53">
        <f t="shared" si="9"/>
        <v>2004</v>
      </c>
      <c r="E271" s="53">
        <f t="shared" si="10"/>
        <v>2136.4</v>
      </c>
    </row>
    <row r="272" spans="1:5" x14ac:dyDescent="0.3">
      <c r="A272" s="53" t="s">
        <v>375</v>
      </c>
      <c r="B272" s="53">
        <v>166.6</v>
      </c>
      <c r="D272" s="53">
        <f t="shared" si="9"/>
        <v>2004</v>
      </c>
      <c r="E272" s="53">
        <f t="shared" si="10"/>
        <v>2136.4</v>
      </c>
    </row>
    <row r="273" spans="1:5" x14ac:dyDescent="0.3">
      <c r="A273" s="53" t="s">
        <v>376</v>
      </c>
      <c r="B273" s="53">
        <v>185.2</v>
      </c>
      <c r="D273" s="53">
        <f t="shared" si="9"/>
        <v>2004</v>
      </c>
      <c r="E273" s="53">
        <f t="shared" si="10"/>
        <v>2136.4</v>
      </c>
    </row>
    <row r="274" spans="1:5" x14ac:dyDescent="0.3">
      <c r="A274" s="53" t="s">
        <v>377</v>
      </c>
      <c r="B274" s="53">
        <v>128.9</v>
      </c>
      <c r="D274" s="53">
        <f t="shared" si="9"/>
        <v>2004</v>
      </c>
      <c r="E274" s="53">
        <f t="shared" si="10"/>
        <v>2136.4</v>
      </c>
    </row>
    <row r="275" spans="1:5" x14ac:dyDescent="0.3">
      <c r="A275" s="53" t="s">
        <v>378</v>
      </c>
      <c r="B275" s="53">
        <v>125.6</v>
      </c>
      <c r="D275" s="53">
        <f t="shared" si="9"/>
        <v>2004</v>
      </c>
      <c r="E275" s="53">
        <f t="shared" si="10"/>
        <v>2136.4</v>
      </c>
    </row>
    <row r="276" spans="1:5" x14ac:dyDescent="0.3">
      <c r="A276" s="53" t="s">
        <v>379</v>
      </c>
      <c r="B276" s="53">
        <v>166.2</v>
      </c>
      <c r="D276" s="53">
        <f t="shared" si="9"/>
        <v>2004</v>
      </c>
      <c r="E276" s="53">
        <f t="shared" si="10"/>
        <v>2136.4</v>
      </c>
    </row>
    <row r="277" spans="1:5" x14ac:dyDescent="0.3">
      <c r="A277" s="53" t="s">
        <v>380</v>
      </c>
      <c r="B277" s="53">
        <v>139.80000000000001</v>
      </c>
      <c r="D277" s="53">
        <f t="shared" si="9"/>
        <v>2004</v>
      </c>
      <c r="E277" s="53">
        <f t="shared" si="10"/>
        <v>2136.4</v>
      </c>
    </row>
    <row r="278" spans="1:5" x14ac:dyDescent="0.3">
      <c r="A278" s="53" t="s">
        <v>381</v>
      </c>
      <c r="B278" s="53">
        <v>163.19999999999999</v>
      </c>
      <c r="D278" s="53">
        <f t="shared" si="9"/>
        <v>2005</v>
      </c>
      <c r="E278" s="53">
        <f t="shared" si="10"/>
        <v>1930.6999999999998</v>
      </c>
    </row>
    <row r="279" spans="1:5" x14ac:dyDescent="0.3">
      <c r="A279" s="53" t="s">
        <v>382</v>
      </c>
      <c r="B279" s="53">
        <v>8.4</v>
      </c>
      <c r="D279" s="53">
        <f t="shared" si="9"/>
        <v>2005</v>
      </c>
      <c r="E279" s="53">
        <f t="shared" si="10"/>
        <v>1930.6999999999998</v>
      </c>
    </row>
    <row r="280" spans="1:5" x14ac:dyDescent="0.3">
      <c r="A280" s="53" t="s">
        <v>383</v>
      </c>
      <c r="B280" s="53">
        <v>82.4</v>
      </c>
      <c r="D280" s="53">
        <f t="shared" si="9"/>
        <v>2005</v>
      </c>
      <c r="E280" s="53">
        <f t="shared" si="10"/>
        <v>1930.6999999999998</v>
      </c>
    </row>
    <row r="281" spans="1:5" x14ac:dyDescent="0.3">
      <c r="A281" s="53" t="s">
        <v>384</v>
      </c>
      <c r="B281" s="53">
        <v>81.7</v>
      </c>
      <c r="D281" s="53">
        <f t="shared" si="9"/>
        <v>2005</v>
      </c>
      <c r="E281" s="53">
        <f t="shared" si="10"/>
        <v>1930.6999999999998</v>
      </c>
    </row>
    <row r="282" spans="1:5" x14ac:dyDescent="0.3">
      <c r="A282" s="53" t="s">
        <v>385</v>
      </c>
      <c r="B282" s="53">
        <v>331.1</v>
      </c>
      <c r="D282" s="53">
        <f t="shared" si="9"/>
        <v>2005</v>
      </c>
      <c r="E282" s="53">
        <f t="shared" si="10"/>
        <v>1930.6999999999998</v>
      </c>
    </row>
    <row r="283" spans="1:5" x14ac:dyDescent="0.3">
      <c r="A283" s="53" t="s">
        <v>386</v>
      </c>
      <c r="B283" s="53">
        <v>82.3</v>
      </c>
      <c r="D283" s="53">
        <f t="shared" si="9"/>
        <v>2005</v>
      </c>
      <c r="E283" s="53">
        <f t="shared" si="10"/>
        <v>1930.6999999999998</v>
      </c>
    </row>
    <row r="284" spans="1:5" x14ac:dyDescent="0.3">
      <c r="A284" s="53" t="s">
        <v>387</v>
      </c>
      <c r="B284" s="53">
        <v>104</v>
      </c>
      <c r="D284" s="53">
        <f t="shared" si="9"/>
        <v>2005</v>
      </c>
      <c r="E284" s="53">
        <f t="shared" si="10"/>
        <v>1930.6999999999998</v>
      </c>
    </row>
    <row r="285" spans="1:5" x14ac:dyDescent="0.3">
      <c r="A285" s="53" t="s">
        <v>388</v>
      </c>
      <c r="B285" s="53">
        <v>58.5</v>
      </c>
      <c r="D285" s="53">
        <f t="shared" si="9"/>
        <v>2005</v>
      </c>
      <c r="E285" s="53">
        <f t="shared" si="10"/>
        <v>1930.6999999999998</v>
      </c>
    </row>
    <row r="286" spans="1:5" x14ac:dyDescent="0.3">
      <c r="A286" s="53" t="s">
        <v>389</v>
      </c>
      <c r="B286" s="53">
        <v>175.7</v>
      </c>
      <c r="D286" s="53">
        <f t="shared" si="9"/>
        <v>2005</v>
      </c>
      <c r="E286" s="53">
        <f t="shared" si="10"/>
        <v>1930.6999999999998</v>
      </c>
    </row>
    <row r="287" spans="1:5" x14ac:dyDescent="0.3">
      <c r="A287" s="53" t="s">
        <v>390</v>
      </c>
      <c r="B287" s="53">
        <v>314.5</v>
      </c>
      <c r="D287" s="53">
        <f t="shared" si="9"/>
        <v>2005</v>
      </c>
      <c r="E287" s="53">
        <f t="shared" si="10"/>
        <v>1930.6999999999998</v>
      </c>
    </row>
    <row r="288" spans="1:5" x14ac:dyDescent="0.3">
      <c r="A288" s="53" t="s">
        <v>391</v>
      </c>
      <c r="B288" s="53">
        <v>362.9</v>
      </c>
      <c r="D288" s="53">
        <f t="shared" si="9"/>
        <v>2005</v>
      </c>
      <c r="E288" s="53">
        <f t="shared" si="10"/>
        <v>1930.6999999999998</v>
      </c>
    </row>
    <row r="289" spans="1:5" x14ac:dyDescent="0.3">
      <c r="A289" s="53" t="s">
        <v>392</v>
      </c>
      <c r="B289" s="53">
        <v>166</v>
      </c>
      <c r="D289" s="53">
        <f t="shared" si="9"/>
        <v>2005</v>
      </c>
      <c r="E289" s="53">
        <f t="shared" si="10"/>
        <v>1930.6999999999998</v>
      </c>
    </row>
    <row r="290" spans="1:5" x14ac:dyDescent="0.3">
      <c r="A290" s="53" t="s">
        <v>393</v>
      </c>
      <c r="B290" s="53">
        <v>454.4</v>
      </c>
      <c r="D290" s="53">
        <f t="shared" si="9"/>
        <v>2006</v>
      </c>
      <c r="E290" s="53">
        <f t="shared" si="10"/>
        <v>2753.2</v>
      </c>
    </row>
    <row r="291" spans="1:5" x14ac:dyDescent="0.3">
      <c r="A291" s="53" t="s">
        <v>394</v>
      </c>
      <c r="B291" s="53">
        <v>115.5</v>
      </c>
      <c r="D291" s="53">
        <f t="shared" si="9"/>
        <v>2006</v>
      </c>
      <c r="E291" s="53">
        <f t="shared" si="10"/>
        <v>2753.2</v>
      </c>
    </row>
    <row r="292" spans="1:5" x14ac:dyDescent="0.3">
      <c r="A292" s="53" t="s">
        <v>395</v>
      </c>
      <c r="B292" s="53">
        <v>83.1</v>
      </c>
      <c r="D292" s="53">
        <f t="shared" si="9"/>
        <v>2006</v>
      </c>
      <c r="E292" s="53">
        <f t="shared" si="10"/>
        <v>2753.2</v>
      </c>
    </row>
    <row r="293" spans="1:5" x14ac:dyDescent="0.3">
      <c r="A293" s="53" t="s">
        <v>396</v>
      </c>
      <c r="B293" s="53">
        <v>239.8</v>
      </c>
      <c r="D293" s="53">
        <f t="shared" si="9"/>
        <v>2006</v>
      </c>
      <c r="E293" s="53">
        <f t="shared" si="10"/>
        <v>2753.2</v>
      </c>
    </row>
    <row r="294" spans="1:5" x14ac:dyDescent="0.3">
      <c r="A294" s="53" t="s">
        <v>397</v>
      </c>
      <c r="B294" s="53">
        <v>205.7</v>
      </c>
      <c r="D294" s="53">
        <f t="shared" si="9"/>
        <v>2006</v>
      </c>
      <c r="E294" s="53">
        <f t="shared" si="10"/>
        <v>2753.2</v>
      </c>
    </row>
    <row r="295" spans="1:5" x14ac:dyDescent="0.3">
      <c r="A295" s="53" t="s">
        <v>398</v>
      </c>
      <c r="B295" s="53">
        <v>236.8</v>
      </c>
      <c r="D295" s="53">
        <f t="shared" si="9"/>
        <v>2006</v>
      </c>
      <c r="E295" s="53">
        <f t="shared" si="10"/>
        <v>2753.2</v>
      </c>
    </row>
    <row r="296" spans="1:5" x14ac:dyDescent="0.3">
      <c r="A296" s="53" t="s">
        <v>399</v>
      </c>
      <c r="B296" s="53">
        <v>153.80000000000001</v>
      </c>
      <c r="D296" s="53">
        <f t="shared" si="9"/>
        <v>2006</v>
      </c>
      <c r="E296" s="53">
        <f t="shared" si="10"/>
        <v>2753.2</v>
      </c>
    </row>
    <row r="297" spans="1:5" x14ac:dyDescent="0.3">
      <c r="A297" s="53" t="s">
        <v>400</v>
      </c>
      <c r="B297" s="53">
        <v>127.3</v>
      </c>
      <c r="D297" s="53">
        <f t="shared" si="9"/>
        <v>2006</v>
      </c>
      <c r="E297" s="53">
        <f t="shared" si="10"/>
        <v>2753.2</v>
      </c>
    </row>
    <row r="298" spans="1:5" x14ac:dyDescent="0.3">
      <c r="A298" s="53" t="s">
        <v>401</v>
      </c>
      <c r="B298" s="53">
        <v>83.3</v>
      </c>
      <c r="D298" s="53">
        <f t="shared" si="9"/>
        <v>2006</v>
      </c>
      <c r="E298" s="53">
        <f t="shared" si="10"/>
        <v>2753.2</v>
      </c>
    </row>
    <row r="299" spans="1:5" x14ac:dyDescent="0.3">
      <c r="A299" s="53" t="s">
        <v>402</v>
      </c>
      <c r="B299" s="53">
        <v>102</v>
      </c>
      <c r="D299" s="53">
        <f t="shared" si="9"/>
        <v>2006</v>
      </c>
      <c r="E299" s="53">
        <f t="shared" si="10"/>
        <v>2753.2</v>
      </c>
    </row>
    <row r="300" spans="1:5" x14ac:dyDescent="0.3">
      <c r="A300" s="53" t="s">
        <v>403</v>
      </c>
      <c r="B300" s="53">
        <v>185.6</v>
      </c>
      <c r="D300" s="53">
        <f t="shared" si="9"/>
        <v>2006</v>
      </c>
      <c r="E300" s="53">
        <f t="shared" si="10"/>
        <v>2753.2</v>
      </c>
    </row>
    <row r="301" spans="1:5" x14ac:dyDescent="0.3">
      <c r="A301" s="53" t="s">
        <v>404</v>
      </c>
      <c r="B301" s="53">
        <v>765.9</v>
      </c>
      <c r="D301" s="53">
        <f t="shared" si="9"/>
        <v>2006</v>
      </c>
      <c r="E301" s="53">
        <f t="shared" si="10"/>
        <v>2753.2</v>
      </c>
    </row>
    <row r="302" spans="1:5" x14ac:dyDescent="0.3">
      <c r="A302" s="53" t="s">
        <v>405</v>
      </c>
      <c r="B302" s="53">
        <v>450.1</v>
      </c>
      <c r="D302" s="53">
        <f t="shared" si="9"/>
        <v>2007</v>
      </c>
      <c r="E302" s="53">
        <f t="shared" si="10"/>
        <v>2886.2000000000003</v>
      </c>
    </row>
    <row r="303" spans="1:5" x14ac:dyDescent="0.3">
      <c r="A303" s="53" t="s">
        <v>406</v>
      </c>
      <c r="B303" s="53">
        <v>105.5</v>
      </c>
      <c r="D303" s="53">
        <f t="shared" si="9"/>
        <v>2007</v>
      </c>
      <c r="E303" s="53">
        <f t="shared" si="10"/>
        <v>2886.2000000000003</v>
      </c>
    </row>
    <row r="304" spans="1:5" x14ac:dyDescent="0.3">
      <c r="A304" s="53" t="s">
        <v>407</v>
      </c>
      <c r="B304" s="53">
        <v>269.10000000000002</v>
      </c>
      <c r="D304" s="53">
        <f t="shared" si="9"/>
        <v>2007</v>
      </c>
      <c r="E304" s="53">
        <f t="shared" si="10"/>
        <v>2886.2000000000003</v>
      </c>
    </row>
    <row r="305" spans="1:5" x14ac:dyDescent="0.3">
      <c r="A305" s="53" t="s">
        <v>408</v>
      </c>
      <c r="B305" s="53">
        <v>240.2</v>
      </c>
      <c r="D305" s="53">
        <f t="shared" si="9"/>
        <v>2007</v>
      </c>
      <c r="E305" s="53">
        <f t="shared" si="10"/>
        <v>2886.2000000000003</v>
      </c>
    </row>
    <row r="306" spans="1:5" x14ac:dyDescent="0.3">
      <c r="A306" s="53" t="s">
        <v>409</v>
      </c>
      <c r="B306" s="53">
        <v>127.2</v>
      </c>
      <c r="D306" s="53">
        <f t="shared" si="9"/>
        <v>2007</v>
      </c>
      <c r="E306" s="53">
        <f t="shared" si="10"/>
        <v>2886.2000000000003</v>
      </c>
    </row>
    <row r="307" spans="1:5" x14ac:dyDescent="0.3">
      <c r="A307" s="53" t="s">
        <v>410</v>
      </c>
      <c r="B307" s="53">
        <v>139</v>
      </c>
      <c r="D307" s="53">
        <f t="shared" si="9"/>
        <v>2007</v>
      </c>
      <c r="E307" s="53">
        <f t="shared" si="10"/>
        <v>2886.2000000000003</v>
      </c>
    </row>
    <row r="308" spans="1:5" x14ac:dyDescent="0.3">
      <c r="A308" s="53" t="s">
        <v>411</v>
      </c>
      <c r="B308" s="53">
        <v>141.69999999999999</v>
      </c>
      <c r="D308" s="53">
        <f t="shared" si="9"/>
        <v>2007</v>
      </c>
      <c r="E308" s="53">
        <f t="shared" si="10"/>
        <v>2886.2000000000003</v>
      </c>
    </row>
    <row r="309" spans="1:5" x14ac:dyDescent="0.3">
      <c r="A309" s="53" t="s">
        <v>412</v>
      </c>
      <c r="B309" s="53">
        <v>190.7</v>
      </c>
      <c r="D309" s="53">
        <f t="shared" si="9"/>
        <v>2007</v>
      </c>
      <c r="E309" s="53">
        <f t="shared" si="10"/>
        <v>2886.2000000000003</v>
      </c>
    </row>
    <row r="310" spans="1:5" x14ac:dyDescent="0.3">
      <c r="A310" s="53" t="s">
        <v>413</v>
      </c>
      <c r="B310" s="53">
        <v>149</v>
      </c>
      <c r="D310" s="53">
        <f t="shared" si="9"/>
        <v>2007</v>
      </c>
      <c r="E310" s="53">
        <f t="shared" si="10"/>
        <v>2886.2000000000003</v>
      </c>
    </row>
    <row r="311" spans="1:5" x14ac:dyDescent="0.3">
      <c r="A311" s="53" t="s">
        <v>414</v>
      </c>
      <c r="B311" s="53">
        <v>237.2</v>
      </c>
      <c r="D311" s="53">
        <f t="shared" si="9"/>
        <v>2007</v>
      </c>
      <c r="E311" s="53">
        <f t="shared" si="10"/>
        <v>2886.2000000000003</v>
      </c>
    </row>
    <row r="312" spans="1:5" x14ac:dyDescent="0.3">
      <c r="A312" s="53" t="s">
        <v>415</v>
      </c>
      <c r="B312" s="53">
        <v>367.9</v>
      </c>
      <c r="D312" s="53">
        <f t="shared" si="9"/>
        <v>2007</v>
      </c>
      <c r="E312" s="53">
        <f t="shared" si="10"/>
        <v>2886.2000000000003</v>
      </c>
    </row>
    <row r="313" spans="1:5" x14ac:dyDescent="0.3">
      <c r="A313" s="53" t="s">
        <v>416</v>
      </c>
      <c r="B313" s="53">
        <v>468.6</v>
      </c>
      <c r="D313" s="53">
        <f t="shared" si="9"/>
        <v>2007</v>
      </c>
      <c r="E313" s="53">
        <f t="shared" si="10"/>
        <v>2886.2000000000003</v>
      </c>
    </row>
    <row r="314" spans="1:5" x14ac:dyDescent="0.3">
      <c r="A314" s="53" t="s">
        <v>417</v>
      </c>
      <c r="B314" s="53">
        <v>262.60000000000002</v>
      </c>
      <c r="D314" s="53">
        <f t="shared" si="9"/>
        <v>2008</v>
      </c>
      <c r="E314" s="53">
        <f t="shared" si="10"/>
        <v>2325.1</v>
      </c>
    </row>
    <row r="315" spans="1:5" x14ac:dyDescent="0.3">
      <c r="A315" s="53" t="s">
        <v>418</v>
      </c>
      <c r="B315" s="53">
        <v>129.19999999999999</v>
      </c>
      <c r="D315" s="53">
        <f t="shared" si="9"/>
        <v>2008</v>
      </c>
      <c r="E315" s="53">
        <f t="shared" si="10"/>
        <v>2325.1</v>
      </c>
    </row>
    <row r="316" spans="1:5" x14ac:dyDescent="0.3">
      <c r="A316" s="53" t="s">
        <v>419</v>
      </c>
      <c r="B316" s="53">
        <v>294.10000000000002</v>
      </c>
      <c r="D316" s="53">
        <f t="shared" si="9"/>
        <v>2008</v>
      </c>
      <c r="E316" s="53">
        <f t="shared" si="10"/>
        <v>2325.1</v>
      </c>
    </row>
    <row r="317" spans="1:5" x14ac:dyDescent="0.3">
      <c r="A317" s="53" t="s">
        <v>420</v>
      </c>
      <c r="B317" s="53">
        <v>87.2</v>
      </c>
      <c r="D317" s="53">
        <f t="shared" si="9"/>
        <v>2008</v>
      </c>
      <c r="E317" s="53">
        <f t="shared" si="10"/>
        <v>2325.1</v>
      </c>
    </row>
    <row r="318" spans="1:5" x14ac:dyDescent="0.3">
      <c r="A318" s="53" t="s">
        <v>421</v>
      </c>
      <c r="B318" s="53">
        <v>124.9</v>
      </c>
      <c r="D318" s="53">
        <f t="shared" si="9"/>
        <v>2008</v>
      </c>
      <c r="E318" s="53">
        <f t="shared" si="10"/>
        <v>2325.1</v>
      </c>
    </row>
    <row r="319" spans="1:5" x14ac:dyDescent="0.3">
      <c r="A319" s="53" t="s">
        <v>422</v>
      </c>
      <c r="B319" s="53">
        <v>118.3</v>
      </c>
      <c r="D319" s="53">
        <f t="shared" si="9"/>
        <v>2008</v>
      </c>
      <c r="E319" s="53">
        <f t="shared" si="10"/>
        <v>2325.1</v>
      </c>
    </row>
    <row r="320" spans="1:5" x14ac:dyDescent="0.3">
      <c r="A320" s="53" t="s">
        <v>423</v>
      </c>
      <c r="B320" s="53">
        <v>89.1</v>
      </c>
      <c r="D320" s="53">
        <f t="shared" si="9"/>
        <v>2008</v>
      </c>
      <c r="E320" s="53">
        <f t="shared" si="10"/>
        <v>2325.1</v>
      </c>
    </row>
    <row r="321" spans="1:5" x14ac:dyDescent="0.3">
      <c r="A321" s="53" t="s">
        <v>424</v>
      </c>
      <c r="B321" s="53">
        <v>327.3</v>
      </c>
      <c r="D321" s="53">
        <f t="shared" si="9"/>
        <v>2008</v>
      </c>
      <c r="E321" s="53">
        <f t="shared" si="10"/>
        <v>2325.1</v>
      </c>
    </row>
    <row r="322" spans="1:5" x14ac:dyDescent="0.3">
      <c r="A322" s="53" t="s">
        <v>425</v>
      </c>
      <c r="B322" s="53">
        <v>164.4</v>
      </c>
      <c r="D322" s="53">
        <f t="shared" ref="D322:D385" si="11">YEAR(DATEVALUE(A322 &amp; "-01"))</f>
        <v>2008</v>
      </c>
      <c r="E322" s="53">
        <f t="shared" ref="E322:E385" si="12">SUMIFS($B:$B,$D:$D,D322)</f>
        <v>2325.1</v>
      </c>
    </row>
    <row r="323" spans="1:5" x14ac:dyDescent="0.3">
      <c r="A323" s="53" t="s">
        <v>426</v>
      </c>
      <c r="B323" s="53">
        <v>159.5</v>
      </c>
      <c r="D323" s="53">
        <f t="shared" si="11"/>
        <v>2008</v>
      </c>
      <c r="E323" s="53">
        <f t="shared" si="12"/>
        <v>2325.1</v>
      </c>
    </row>
    <row r="324" spans="1:5" x14ac:dyDescent="0.3">
      <c r="A324" s="53" t="s">
        <v>427</v>
      </c>
      <c r="B324" s="53">
        <v>324.3</v>
      </c>
      <c r="D324" s="53">
        <f t="shared" si="11"/>
        <v>2008</v>
      </c>
      <c r="E324" s="53">
        <f t="shared" si="12"/>
        <v>2325.1</v>
      </c>
    </row>
    <row r="325" spans="1:5" x14ac:dyDescent="0.3">
      <c r="A325" s="53" t="s">
        <v>428</v>
      </c>
      <c r="B325" s="53">
        <v>244.2</v>
      </c>
      <c r="D325" s="53">
        <f t="shared" si="11"/>
        <v>2008</v>
      </c>
      <c r="E325" s="53">
        <f t="shared" si="12"/>
        <v>2325.1</v>
      </c>
    </row>
    <row r="326" spans="1:5" x14ac:dyDescent="0.3">
      <c r="A326" s="53" t="s">
        <v>429</v>
      </c>
      <c r="B326" s="53">
        <v>38.299999999999997</v>
      </c>
      <c r="D326" s="53">
        <f t="shared" si="11"/>
        <v>2009</v>
      </c>
      <c r="E326" s="53">
        <f t="shared" si="12"/>
        <v>1920.8999999999999</v>
      </c>
    </row>
    <row r="327" spans="1:5" x14ac:dyDescent="0.3">
      <c r="A327" s="53" t="s">
        <v>430</v>
      </c>
      <c r="B327" s="53">
        <v>201.8</v>
      </c>
      <c r="D327" s="53">
        <f t="shared" si="11"/>
        <v>2009</v>
      </c>
      <c r="E327" s="53">
        <f t="shared" si="12"/>
        <v>1920.8999999999999</v>
      </c>
    </row>
    <row r="328" spans="1:5" x14ac:dyDescent="0.3">
      <c r="A328" s="53" t="s">
        <v>431</v>
      </c>
      <c r="B328" s="53">
        <v>223.3</v>
      </c>
      <c r="D328" s="53">
        <f t="shared" si="11"/>
        <v>2009</v>
      </c>
      <c r="E328" s="53">
        <f t="shared" si="12"/>
        <v>1920.8999999999999</v>
      </c>
    </row>
    <row r="329" spans="1:5" x14ac:dyDescent="0.3">
      <c r="A329" s="53" t="s">
        <v>432</v>
      </c>
      <c r="B329" s="53">
        <v>183.7</v>
      </c>
      <c r="D329" s="53">
        <f t="shared" si="11"/>
        <v>2009</v>
      </c>
      <c r="E329" s="53">
        <f t="shared" si="12"/>
        <v>1920.8999999999999</v>
      </c>
    </row>
    <row r="330" spans="1:5" x14ac:dyDescent="0.3">
      <c r="A330" s="53" t="s">
        <v>433</v>
      </c>
      <c r="B330" s="53">
        <v>198.6</v>
      </c>
      <c r="D330" s="53">
        <f t="shared" si="11"/>
        <v>2009</v>
      </c>
      <c r="E330" s="53">
        <f t="shared" si="12"/>
        <v>1920.8999999999999</v>
      </c>
    </row>
    <row r="331" spans="1:5" x14ac:dyDescent="0.3">
      <c r="A331" s="53" t="s">
        <v>434</v>
      </c>
      <c r="B331" s="53">
        <v>21.8</v>
      </c>
      <c r="D331" s="53">
        <f t="shared" si="11"/>
        <v>2009</v>
      </c>
      <c r="E331" s="53">
        <f t="shared" si="12"/>
        <v>1920.8999999999999</v>
      </c>
    </row>
    <row r="332" spans="1:5" x14ac:dyDescent="0.3">
      <c r="A332" s="53" t="s">
        <v>435</v>
      </c>
      <c r="B332" s="53">
        <v>161</v>
      </c>
      <c r="D332" s="53">
        <f t="shared" si="11"/>
        <v>2009</v>
      </c>
      <c r="E332" s="53">
        <f t="shared" si="12"/>
        <v>1920.8999999999999</v>
      </c>
    </row>
    <row r="333" spans="1:5" x14ac:dyDescent="0.3">
      <c r="A333" s="53" t="s">
        <v>436</v>
      </c>
      <c r="B333" s="53">
        <v>177.8</v>
      </c>
      <c r="D333" s="53">
        <f t="shared" si="11"/>
        <v>2009</v>
      </c>
      <c r="E333" s="53">
        <f t="shared" si="12"/>
        <v>1920.8999999999999</v>
      </c>
    </row>
    <row r="334" spans="1:5" x14ac:dyDescent="0.3">
      <c r="A334" s="53" t="s">
        <v>437</v>
      </c>
      <c r="B334" s="53">
        <v>109.6</v>
      </c>
      <c r="D334" s="53">
        <f t="shared" si="11"/>
        <v>2009</v>
      </c>
      <c r="E334" s="53">
        <f t="shared" si="12"/>
        <v>1920.8999999999999</v>
      </c>
    </row>
    <row r="335" spans="1:5" x14ac:dyDescent="0.3">
      <c r="A335" s="53" t="s">
        <v>438</v>
      </c>
      <c r="B335" s="53">
        <v>133.4</v>
      </c>
      <c r="D335" s="53">
        <f t="shared" si="11"/>
        <v>2009</v>
      </c>
      <c r="E335" s="53">
        <f t="shared" si="12"/>
        <v>1920.8999999999999</v>
      </c>
    </row>
    <row r="336" spans="1:5" x14ac:dyDescent="0.3">
      <c r="A336" s="53" t="s">
        <v>439</v>
      </c>
      <c r="B336" s="53">
        <v>281.8</v>
      </c>
      <c r="D336" s="53">
        <f t="shared" si="11"/>
        <v>2009</v>
      </c>
      <c r="E336" s="53">
        <f t="shared" si="12"/>
        <v>1920.8999999999999</v>
      </c>
    </row>
    <row r="337" spans="1:5" x14ac:dyDescent="0.3">
      <c r="A337" s="53" t="s">
        <v>440</v>
      </c>
      <c r="B337" s="53">
        <v>189.8</v>
      </c>
      <c r="D337" s="53">
        <f t="shared" si="11"/>
        <v>2009</v>
      </c>
      <c r="E337" s="53">
        <f t="shared" si="12"/>
        <v>1920.8999999999999</v>
      </c>
    </row>
    <row r="338" spans="1:5" x14ac:dyDescent="0.3">
      <c r="A338" s="53" t="s">
        <v>441</v>
      </c>
      <c r="B338" s="53">
        <v>69.5</v>
      </c>
      <c r="D338" s="53">
        <f t="shared" si="11"/>
        <v>2010</v>
      </c>
      <c r="E338" s="53">
        <f t="shared" si="12"/>
        <v>2075.1</v>
      </c>
    </row>
    <row r="339" spans="1:5" x14ac:dyDescent="0.3">
      <c r="A339" s="53" t="s">
        <v>442</v>
      </c>
      <c r="B339" s="53">
        <v>6.3</v>
      </c>
      <c r="D339" s="53">
        <f t="shared" si="11"/>
        <v>2010</v>
      </c>
      <c r="E339" s="53">
        <f t="shared" si="12"/>
        <v>2075.1</v>
      </c>
    </row>
    <row r="340" spans="1:5" x14ac:dyDescent="0.3">
      <c r="A340" s="53" t="s">
        <v>443</v>
      </c>
      <c r="B340" s="53">
        <v>238</v>
      </c>
      <c r="D340" s="53">
        <f t="shared" si="11"/>
        <v>2010</v>
      </c>
      <c r="E340" s="53">
        <f t="shared" si="12"/>
        <v>2075.1</v>
      </c>
    </row>
    <row r="341" spans="1:5" x14ac:dyDescent="0.3">
      <c r="A341" s="53" t="s">
        <v>444</v>
      </c>
      <c r="B341" s="53">
        <v>158.5</v>
      </c>
      <c r="D341" s="53">
        <f t="shared" si="11"/>
        <v>2010</v>
      </c>
      <c r="E341" s="53">
        <f t="shared" si="12"/>
        <v>2075.1</v>
      </c>
    </row>
    <row r="342" spans="1:5" x14ac:dyDescent="0.3">
      <c r="A342" s="53" t="s">
        <v>445</v>
      </c>
      <c r="B342" s="53">
        <v>157.5</v>
      </c>
      <c r="D342" s="53">
        <f t="shared" si="11"/>
        <v>2010</v>
      </c>
      <c r="E342" s="53">
        <f t="shared" si="12"/>
        <v>2075.1</v>
      </c>
    </row>
    <row r="343" spans="1:5" x14ac:dyDescent="0.3">
      <c r="A343" s="53" t="s">
        <v>446</v>
      </c>
      <c r="B343" s="53">
        <v>240.5</v>
      </c>
      <c r="D343" s="53">
        <f t="shared" si="11"/>
        <v>2010</v>
      </c>
      <c r="E343" s="53">
        <f t="shared" si="12"/>
        <v>2075.1</v>
      </c>
    </row>
    <row r="344" spans="1:5" x14ac:dyDescent="0.3">
      <c r="A344" s="53" t="s">
        <v>447</v>
      </c>
      <c r="B344" s="53">
        <v>298.5</v>
      </c>
      <c r="D344" s="53">
        <f t="shared" si="11"/>
        <v>2010</v>
      </c>
      <c r="E344" s="53">
        <f t="shared" si="12"/>
        <v>2075.1</v>
      </c>
    </row>
    <row r="345" spans="1:5" x14ac:dyDescent="0.3">
      <c r="A345" s="53" t="s">
        <v>448</v>
      </c>
      <c r="B345" s="53">
        <v>158.4</v>
      </c>
      <c r="D345" s="53">
        <f t="shared" si="11"/>
        <v>2010</v>
      </c>
      <c r="E345" s="53">
        <f t="shared" si="12"/>
        <v>2075.1</v>
      </c>
    </row>
    <row r="346" spans="1:5" x14ac:dyDescent="0.3">
      <c r="A346" s="53" t="s">
        <v>449</v>
      </c>
      <c r="B346" s="53">
        <v>121.5</v>
      </c>
      <c r="D346" s="53">
        <f t="shared" si="11"/>
        <v>2010</v>
      </c>
      <c r="E346" s="53">
        <f t="shared" si="12"/>
        <v>2075.1</v>
      </c>
    </row>
    <row r="347" spans="1:5" x14ac:dyDescent="0.3">
      <c r="A347" s="53" t="s">
        <v>450</v>
      </c>
      <c r="B347" s="53">
        <v>166.2</v>
      </c>
      <c r="D347" s="53">
        <f t="shared" si="11"/>
        <v>2010</v>
      </c>
      <c r="E347" s="53">
        <f t="shared" si="12"/>
        <v>2075.1</v>
      </c>
    </row>
    <row r="348" spans="1:5" x14ac:dyDescent="0.3">
      <c r="A348" s="53" t="s">
        <v>451</v>
      </c>
      <c r="B348" s="53">
        <v>278.8</v>
      </c>
      <c r="D348" s="53">
        <f t="shared" si="11"/>
        <v>2010</v>
      </c>
      <c r="E348" s="53">
        <f t="shared" si="12"/>
        <v>2075.1</v>
      </c>
    </row>
    <row r="349" spans="1:5" x14ac:dyDescent="0.3">
      <c r="A349" s="53" t="s">
        <v>452</v>
      </c>
      <c r="B349" s="53">
        <v>181.4</v>
      </c>
      <c r="D349" s="53">
        <f t="shared" si="11"/>
        <v>2010</v>
      </c>
      <c r="E349" s="53">
        <f t="shared" si="12"/>
        <v>2075.1</v>
      </c>
    </row>
    <row r="350" spans="1:5" x14ac:dyDescent="0.3">
      <c r="A350" s="53" t="s">
        <v>453</v>
      </c>
      <c r="B350" s="53">
        <v>513.20000000000005</v>
      </c>
      <c r="D350" s="53">
        <f t="shared" si="11"/>
        <v>2011</v>
      </c>
      <c r="E350" s="53">
        <f t="shared" si="12"/>
        <v>2524.2000000000003</v>
      </c>
    </row>
    <row r="351" spans="1:5" x14ac:dyDescent="0.3">
      <c r="A351" s="53" t="s">
        <v>454</v>
      </c>
      <c r="B351" s="53">
        <v>23</v>
      </c>
      <c r="D351" s="53">
        <f t="shared" si="11"/>
        <v>2011</v>
      </c>
      <c r="E351" s="53">
        <f t="shared" si="12"/>
        <v>2524.2000000000003</v>
      </c>
    </row>
    <row r="352" spans="1:5" x14ac:dyDescent="0.3">
      <c r="A352" s="53" t="s">
        <v>455</v>
      </c>
      <c r="B352" s="53">
        <v>256.60000000000002</v>
      </c>
      <c r="D352" s="53">
        <f t="shared" si="11"/>
        <v>2011</v>
      </c>
      <c r="E352" s="53">
        <f t="shared" si="12"/>
        <v>2524.2000000000003</v>
      </c>
    </row>
    <row r="353" spans="1:5" x14ac:dyDescent="0.3">
      <c r="A353" s="53" t="s">
        <v>456</v>
      </c>
      <c r="B353" s="53">
        <v>217.8</v>
      </c>
      <c r="D353" s="53">
        <f t="shared" si="11"/>
        <v>2011</v>
      </c>
      <c r="E353" s="53">
        <f t="shared" si="12"/>
        <v>2524.2000000000003</v>
      </c>
    </row>
    <row r="354" spans="1:5" x14ac:dyDescent="0.3">
      <c r="A354" s="53" t="s">
        <v>457</v>
      </c>
      <c r="B354" s="53">
        <v>127</v>
      </c>
      <c r="D354" s="53">
        <f t="shared" si="11"/>
        <v>2011</v>
      </c>
      <c r="E354" s="53">
        <f t="shared" si="12"/>
        <v>2524.2000000000003</v>
      </c>
    </row>
    <row r="355" spans="1:5" x14ac:dyDescent="0.3">
      <c r="A355" s="53" t="s">
        <v>458</v>
      </c>
      <c r="B355" s="53">
        <v>213</v>
      </c>
      <c r="D355" s="53">
        <f t="shared" si="11"/>
        <v>2011</v>
      </c>
      <c r="E355" s="53">
        <f t="shared" si="12"/>
        <v>2524.2000000000003</v>
      </c>
    </row>
    <row r="356" spans="1:5" x14ac:dyDescent="0.3">
      <c r="A356" s="53" t="s">
        <v>459</v>
      </c>
      <c r="B356" s="53">
        <v>76.599999999999994</v>
      </c>
      <c r="D356" s="53">
        <f t="shared" si="11"/>
        <v>2011</v>
      </c>
      <c r="E356" s="53">
        <f t="shared" si="12"/>
        <v>2524.2000000000003</v>
      </c>
    </row>
    <row r="357" spans="1:5" x14ac:dyDescent="0.3">
      <c r="A357" s="53" t="s">
        <v>460</v>
      </c>
      <c r="B357" s="53">
        <v>81.400000000000006</v>
      </c>
      <c r="D357" s="53">
        <f t="shared" si="11"/>
        <v>2011</v>
      </c>
      <c r="E357" s="53">
        <f t="shared" si="12"/>
        <v>2524.2000000000003</v>
      </c>
    </row>
    <row r="358" spans="1:5" x14ac:dyDescent="0.3">
      <c r="A358" s="53" t="s">
        <v>461</v>
      </c>
      <c r="B358" s="53">
        <v>136.4</v>
      </c>
      <c r="D358" s="53">
        <f t="shared" si="11"/>
        <v>2011</v>
      </c>
      <c r="E358" s="53">
        <f t="shared" si="12"/>
        <v>2524.2000000000003</v>
      </c>
    </row>
    <row r="359" spans="1:5" x14ac:dyDescent="0.3">
      <c r="A359" s="53" t="s">
        <v>462</v>
      </c>
      <c r="B359" s="53">
        <v>216.8</v>
      </c>
      <c r="D359" s="53">
        <f t="shared" si="11"/>
        <v>2011</v>
      </c>
      <c r="E359" s="53">
        <f t="shared" si="12"/>
        <v>2524.2000000000003</v>
      </c>
    </row>
    <row r="360" spans="1:5" x14ac:dyDescent="0.3">
      <c r="A360" s="53" t="s">
        <v>463</v>
      </c>
      <c r="B360" s="53">
        <v>377.8</v>
      </c>
      <c r="D360" s="53">
        <f t="shared" si="11"/>
        <v>2011</v>
      </c>
      <c r="E360" s="53">
        <f t="shared" si="12"/>
        <v>2524.2000000000003</v>
      </c>
    </row>
    <row r="361" spans="1:5" x14ac:dyDescent="0.3">
      <c r="A361" s="53" t="s">
        <v>464</v>
      </c>
      <c r="B361" s="53">
        <v>284.60000000000002</v>
      </c>
      <c r="D361" s="53">
        <f t="shared" si="11"/>
        <v>2011</v>
      </c>
      <c r="E361" s="53">
        <f t="shared" si="12"/>
        <v>2524.2000000000003</v>
      </c>
    </row>
    <row r="362" spans="1:5" x14ac:dyDescent="0.3">
      <c r="A362" s="53" t="s">
        <v>465</v>
      </c>
      <c r="B362" s="53">
        <v>106.1</v>
      </c>
      <c r="D362" s="53">
        <f t="shared" si="11"/>
        <v>2012</v>
      </c>
      <c r="E362" s="53">
        <f t="shared" si="12"/>
        <v>2159.9</v>
      </c>
    </row>
    <row r="363" spans="1:5" x14ac:dyDescent="0.3">
      <c r="A363" s="53" t="s">
        <v>466</v>
      </c>
      <c r="B363" s="53">
        <v>83.6</v>
      </c>
      <c r="D363" s="53">
        <f t="shared" si="11"/>
        <v>2012</v>
      </c>
      <c r="E363" s="53">
        <f t="shared" si="12"/>
        <v>2159.9</v>
      </c>
    </row>
    <row r="364" spans="1:5" x14ac:dyDescent="0.3">
      <c r="A364" s="53" t="s">
        <v>467</v>
      </c>
      <c r="B364" s="53">
        <v>313.39999999999998</v>
      </c>
      <c r="D364" s="53">
        <f t="shared" si="11"/>
        <v>2012</v>
      </c>
      <c r="E364" s="53">
        <f t="shared" si="12"/>
        <v>2159.9</v>
      </c>
    </row>
    <row r="365" spans="1:5" x14ac:dyDescent="0.3">
      <c r="A365" s="53" t="s">
        <v>468</v>
      </c>
      <c r="B365" s="53">
        <v>260.60000000000002</v>
      </c>
      <c r="D365" s="53">
        <f t="shared" si="11"/>
        <v>2012</v>
      </c>
      <c r="E365" s="53">
        <f t="shared" si="12"/>
        <v>2159.9</v>
      </c>
    </row>
    <row r="366" spans="1:5" x14ac:dyDescent="0.3">
      <c r="A366" s="53" t="s">
        <v>469</v>
      </c>
      <c r="B366" s="53">
        <v>292</v>
      </c>
      <c r="D366" s="53">
        <f t="shared" si="11"/>
        <v>2012</v>
      </c>
      <c r="E366" s="53">
        <f t="shared" si="12"/>
        <v>2159.9</v>
      </c>
    </row>
    <row r="367" spans="1:5" x14ac:dyDescent="0.3">
      <c r="A367" s="53" t="s">
        <v>470</v>
      </c>
      <c r="B367" s="53">
        <v>53</v>
      </c>
      <c r="D367" s="53">
        <f t="shared" si="11"/>
        <v>2012</v>
      </c>
      <c r="E367" s="53">
        <f t="shared" si="12"/>
        <v>2159.9</v>
      </c>
    </row>
    <row r="368" spans="1:5" x14ac:dyDescent="0.3">
      <c r="A368" s="53" t="s">
        <v>471</v>
      </c>
      <c r="B368" s="53">
        <v>130.80000000000001</v>
      </c>
      <c r="D368" s="53">
        <f t="shared" si="11"/>
        <v>2012</v>
      </c>
      <c r="E368" s="53">
        <f t="shared" si="12"/>
        <v>2159.9</v>
      </c>
    </row>
    <row r="369" spans="1:5" x14ac:dyDescent="0.3">
      <c r="A369" s="53" t="s">
        <v>472</v>
      </c>
      <c r="B369" s="53">
        <v>119</v>
      </c>
      <c r="D369" s="53">
        <f t="shared" si="11"/>
        <v>2012</v>
      </c>
      <c r="E369" s="53">
        <f t="shared" si="12"/>
        <v>2159.9</v>
      </c>
    </row>
    <row r="370" spans="1:5" x14ac:dyDescent="0.3">
      <c r="A370" s="53" t="s">
        <v>473</v>
      </c>
      <c r="B370" s="53">
        <v>107.6</v>
      </c>
      <c r="D370" s="53">
        <f t="shared" si="11"/>
        <v>2012</v>
      </c>
      <c r="E370" s="53">
        <f t="shared" si="12"/>
        <v>2159.9</v>
      </c>
    </row>
    <row r="371" spans="1:5" x14ac:dyDescent="0.3">
      <c r="A371" s="53" t="s">
        <v>474</v>
      </c>
      <c r="B371" s="53">
        <v>122.2</v>
      </c>
      <c r="D371" s="53">
        <f t="shared" si="11"/>
        <v>2012</v>
      </c>
      <c r="E371" s="53">
        <f t="shared" si="12"/>
        <v>2159.9</v>
      </c>
    </row>
    <row r="372" spans="1:5" x14ac:dyDescent="0.3">
      <c r="A372" s="53" t="s">
        <v>475</v>
      </c>
      <c r="B372" s="53">
        <v>208.2</v>
      </c>
      <c r="D372" s="53">
        <f t="shared" si="11"/>
        <v>2012</v>
      </c>
      <c r="E372" s="53">
        <f t="shared" si="12"/>
        <v>2159.9</v>
      </c>
    </row>
    <row r="373" spans="1:5" x14ac:dyDescent="0.3">
      <c r="A373" s="53" t="s">
        <v>476</v>
      </c>
      <c r="B373" s="53">
        <v>363.4</v>
      </c>
      <c r="D373" s="53">
        <f t="shared" si="11"/>
        <v>2012</v>
      </c>
      <c r="E373" s="53">
        <f t="shared" si="12"/>
        <v>2159.9</v>
      </c>
    </row>
    <row r="374" spans="1:5" x14ac:dyDescent="0.3">
      <c r="A374" s="53" t="s">
        <v>477</v>
      </c>
      <c r="B374" s="53">
        <v>262</v>
      </c>
      <c r="D374" s="53">
        <f t="shared" si="11"/>
        <v>2013</v>
      </c>
      <c r="E374" s="53">
        <f t="shared" si="12"/>
        <v>2748.3999999999996</v>
      </c>
    </row>
    <row r="375" spans="1:5" x14ac:dyDescent="0.3">
      <c r="A375" s="53" t="s">
        <v>478</v>
      </c>
      <c r="B375" s="53">
        <v>395.2</v>
      </c>
      <c r="D375" s="53">
        <f t="shared" si="11"/>
        <v>2013</v>
      </c>
      <c r="E375" s="53">
        <f t="shared" si="12"/>
        <v>2748.3999999999996</v>
      </c>
    </row>
    <row r="376" spans="1:5" x14ac:dyDescent="0.3">
      <c r="A376" s="53" t="s">
        <v>479</v>
      </c>
      <c r="B376" s="53">
        <v>85.8</v>
      </c>
      <c r="D376" s="53">
        <f t="shared" si="11"/>
        <v>2013</v>
      </c>
      <c r="E376" s="53">
        <f t="shared" si="12"/>
        <v>2748.3999999999996</v>
      </c>
    </row>
    <row r="377" spans="1:5" x14ac:dyDescent="0.3">
      <c r="A377" s="53" t="s">
        <v>480</v>
      </c>
      <c r="B377" s="53">
        <v>159.4</v>
      </c>
      <c r="D377" s="53">
        <f t="shared" si="11"/>
        <v>2013</v>
      </c>
      <c r="E377" s="53">
        <f t="shared" si="12"/>
        <v>2748.3999999999996</v>
      </c>
    </row>
    <row r="378" spans="1:5" x14ac:dyDescent="0.3">
      <c r="A378" s="53" t="s">
        <v>481</v>
      </c>
      <c r="B378" s="53">
        <v>211.4</v>
      </c>
      <c r="D378" s="53">
        <f t="shared" si="11"/>
        <v>2013</v>
      </c>
      <c r="E378" s="53">
        <f t="shared" si="12"/>
        <v>2748.3999999999996</v>
      </c>
    </row>
    <row r="379" spans="1:5" x14ac:dyDescent="0.3">
      <c r="A379" s="53" t="s">
        <v>482</v>
      </c>
      <c r="B379" s="53">
        <v>111.4</v>
      </c>
      <c r="D379" s="53">
        <f t="shared" si="11"/>
        <v>2013</v>
      </c>
      <c r="E379" s="53">
        <f t="shared" si="12"/>
        <v>2748.3999999999996</v>
      </c>
    </row>
    <row r="380" spans="1:5" x14ac:dyDescent="0.3">
      <c r="A380" s="53" t="s">
        <v>483</v>
      </c>
      <c r="B380" s="53">
        <v>174.6</v>
      </c>
      <c r="D380" s="53">
        <f t="shared" si="11"/>
        <v>2013</v>
      </c>
      <c r="E380" s="53">
        <f t="shared" si="12"/>
        <v>2748.3999999999996</v>
      </c>
    </row>
    <row r="381" spans="1:5" x14ac:dyDescent="0.3">
      <c r="A381" s="53" t="s">
        <v>484</v>
      </c>
      <c r="B381" s="53">
        <v>165.6</v>
      </c>
      <c r="D381" s="53">
        <f t="shared" si="11"/>
        <v>2013</v>
      </c>
      <c r="E381" s="53">
        <f t="shared" si="12"/>
        <v>2748.3999999999996</v>
      </c>
    </row>
    <row r="382" spans="1:5" x14ac:dyDescent="0.3">
      <c r="A382" s="53" t="s">
        <v>485</v>
      </c>
      <c r="B382" s="53">
        <v>257</v>
      </c>
      <c r="D382" s="53">
        <f t="shared" si="11"/>
        <v>2013</v>
      </c>
      <c r="E382" s="53">
        <f t="shared" si="12"/>
        <v>2748.3999999999996</v>
      </c>
    </row>
    <row r="383" spans="1:5" x14ac:dyDescent="0.3">
      <c r="A383" s="53" t="s">
        <v>486</v>
      </c>
      <c r="B383" s="53">
        <v>285.39999999999998</v>
      </c>
      <c r="D383" s="53">
        <f t="shared" si="11"/>
        <v>2013</v>
      </c>
      <c r="E383" s="53">
        <f t="shared" si="12"/>
        <v>2748.3999999999996</v>
      </c>
    </row>
    <row r="384" spans="1:5" x14ac:dyDescent="0.3">
      <c r="A384" s="53" t="s">
        <v>487</v>
      </c>
      <c r="B384" s="53">
        <v>292.39999999999998</v>
      </c>
      <c r="D384" s="53">
        <f t="shared" si="11"/>
        <v>2013</v>
      </c>
      <c r="E384" s="53">
        <f t="shared" si="12"/>
        <v>2748.3999999999996</v>
      </c>
    </row>
    <row r="385" spans="1:5" x14ac:dyDescent="0.3">
      <c r="A385" s="53" t="s">
        <v>488</v>
      </c>
      <c r="B385" s="53">
        <v>348.2</v>
      </c>
      <c r="D385" s="53">
        <f t="shared" si="11"/>
        <v>2013</v>
      </c>
      <c r="E385" s="53">
        <f t="shared" si="12"/>
        <v>2748.3999999999996</v>
      </c>
    </row>
    <row r="386" spans="1:5" x14ac:dyDescent="0.3">
      <c r="A386" s="53" t="s">
        <v>489</v>
      </c>
      <c r="B386" s="53">
        <v>75.400000000000006</v>
      </c>
      <c r="D386" s="53">
        <f t="shared" ref="D386:D449" si="13">YEAR(DATEVALUE(A386 &amp; "-01"))</f>
        <v>2014</v>
      </c>
      <c r="E386" s="53">
        <f t="shared" ref="E386:E449" si="14">SUMIFS($B:$B,$D:$D,D386)</f>
        <v>1538.3999999999999</v>
      </c>
    </row>
    <row r="387" spans="1:5" x14ac:dyDescent="0.3">
      <c r="A387" s="53" t="s">
        <v>490</v>
      </c>
      <c r="B387" s="53">
        <v>0.2</v>
      </c>
      <c r="D387" s="53">
        <f t="shared" si="13"/>
        <v>2014</v>
      </c>
      <c r="E387" s="53">
        <f t="shared" si="14"/>
        <v>1538.3999999999999</v>
      </c>
    </row>
    <row r="388" spans="1:5" x14ac:dyDescent="0.3">
      <c r="A388" s="53" t="s">
        <v>491</v>
      </c>
      <c r="B388" s="53">
        <v>66</v>
      </c>
      <c r="D388" s="53">
        <f t="shared" si="13"/>
        <v>2014</v>
      </c>
      <c r="E388" s="53">
        <f t="shared" si="14"/>
        <v>1538.3999999999999</v>
      </c>
    </row>
    <row r="389" spans="1:5" x14ac:dyDescent="0.3">
      <c r="A389" s="53" t="s">
        <v>492</v>
      </c>
      <c r="B389" s="53">
        <v>110</v>
      </c>
      <c r="D389" s="53">
        <f t="shared" si="13"/>
        <v>2014</v>
      </c>
      <c r="E389" s="53">
        <f t="shared" si="14"/>
        <v>1538.3999999999999</v>
      </c>
    </row>
    <row r="390" spans="1:5" x14ac:dyDescent="0.3">
      <c r="A390" s="53" t="s">
        <v>493</v>
      </c>
      <c r="B390" s="53">
        <v>125.8</v>
      </c>
      <c r="D390" s="53">
        <f t="shared" si="13"/>
        <v>2014</v>
      </c>
      <c r="E390" s="53">
        <f t="shared" si="14"/>
        <v>1538.3999999999999</v>
      </c>
    </row>
    <row r="391" spans="1:5" x14ac:dyDescent="0.3">
      <c r="A391" s="53" t="s">
        <v>494</v>
      </c>
      <c r="B391" s="53">
        <v>71.400000000000006</v>
      </c>
      <c r="D391" s="53">
        <f t="shared" si="13"/>
        <v>2014</v>
      </c>
      <c r="E391" s="53">
        <f t="shared" si="14"/>
        <v>1538.3999999999999</v>
      </c>
    </row>
    <row r="392" spans="1:5" x14ac:dyDescent="0.3">
      <c r="A392" s="53" t="s">
        <v>495</v>
      </c>
      <c r="B392" s="53">
        <v>148.6</v>
      </c>
      <c r="D392" s="53">
        <f t="shared" si="13"/>
        <v>2014</v>
      </c>
      <c r="E392" s="53">
        <f t="shared" si="14"/>
        <v>1538.3999999999999</v>
      </c>
    </row>
    <row r="393" spans="1:5" x14ac:dyDescent="0.3">
      <c r="A393" s="53" t="s">
        <v>496</v>
      </c>
      <c r="B393" s="53">
        <v>241</v>
      </c>
      <c r="D393" s="53">
        <f t="shared" si="13"/>
        <v>2014</v>
      </c>
      <c r="E393" s="53">
        <f t="shared" si="14"/>
        <v>1538.3999999999999</v>
      </c>
    </row>
    <row r="394" spans="1:5" x14ac:dyDescent="0.3">
      <c r="A394" s="53" t="s">
        <v>497</v>
      </c>
      <c r="B394" s="53">
        <v>83.6</v>
      </c>
      <c r="D394" s="53">
        <f t="shared" si="13"/>
        <v>2014</v>
      </c>
      <c r="E394" s="53">
        <f t="shared" si="14"/>
        <v>1538.3999999999999</v>
      </c>
    </row>
    <row r="395" spans="1:5" x14ac:dyDescent="0.3">
      <c r="A395" s="53" t="s">
        <v>498</v>
      </c>
      <c r="B395" s="53">
        <v>120</v>
      </c>
      <c r="D395" s="53">
        <f t="shared" si="13"/>
        <v>2014</v>
      </c>
      <c r="E395" s="53">
        <f t="shared" si="14"/>
        <v>1538.3999999999999</v>
      </c>
    </row>
    <row r="396" spans="1:5" x14ac:dyDescent="0.3">
      <c r="A396" s="53" t="s">
        <v>499</v>
      </c>
      <c r="B396" s="53">
        <v>250.8</v>
      </c>
      <c r="D396" s="53">
        <f t="shared" si="13"/>
        <v>2014</v>
      </c>
      <c r="E396" s="53">
        <f t="shared" si="14"/>
        <v>1538.3999999999999</v>
      </c>
    </row>
    <row r="397" spans="1:5" x14ac:dyDescent="0.3">
      <c r="A397" s="53" t="s">
        <v>500</v>
      </c>
      <c r="B397" s="53">
        <v>245.6</v>
      </c>
      <c r="D397" s="53">
        <f t="shared" si="13"/>
        <v>2014</v>
      </c>
      <c r="E397" s="53">
        <f t="shared" si="14"/>
        <v>1538.3999999999999</v>
      </c>
    </row>
    <row r="398" spans="1:5" x14ac:dyDescent="0.3">
      <c r="A398" s="53" t="s">
        <v>501</v>
      </c>
      <c r="B398" s="53">
        <v>79.599999999999994</v>
      </c>
      <c r="D398" s="53">
        <f t="shared" si="13"/>
        <v>2015</v>
      </c>
      <c r="E398" s="53">
        <f t="shared" si="14"/>
        <v>1267.1000000000001</v>
      </c>
    </row>
    <row r="399" spans="1:5" x14ac:dyDescent="0.3">
      <c r="A399" s="53" t="s">
        <v>502</v>
      </c>
      <c r="B399" s="53">
        <v>18.8</v>
      </c>
      <c r="D399" s="53">
        <f t="shared" si="13"/>
        <v>2015</v>
      </c>
      <c r="E399" s="53">
        <f t="shared" si="14"/>
        <v>1267.1000000000001</v>
      </c>
    </row>
    <row r="400" spans="1:5" x14ac:dyDescent="0.3">
      <c r="A400" s="53" t="s">
        <v>503</v>
      </c>
      <c r="B400" s="53">
        <v>84.4</v>
      </c>
      <c r="D400" s="53">
        <f t="shared" si="13"/>
        <v>2015</v>
      </c>
      <c r="E400" s="53">
        <f t="shared" si="14"/>
        <v>1267.1000000000001</v>
      </c>
    </row>
    <row r="401" spans="1:5" x14ac:dyDescent="0.3">
      <c r="A401" s="53" t="s">
        <v>504</v>
      </c>
      <c r="B401" s="53">
        <v>73.2</v>
      </c>
      <c r="D401" s="53">
        <f t="shared" si="13"/>
        <v>2015</v>
      </c>
      <c r="E401" s="53">
        <f t="shared" si="14"/>
        <v>1267.1000000000001</v>
      </c>
    </row>
    <row r="402" spans="1:5" x14ac:dyDescent="0.3">
      <c r="A402" s="53" t="s">
        <v>505</v>
      </c>
      <c r="B402" s="53">
        <v>89</v>
      </c>
      <c r="D402" s="53">
        <f t="shared" si="13"/>
        <v>2015</v>
      </c>
      <c r="E402" s="53">
        <f t="shared" si="14"/>
        <v>1267.1000000000001</v>
      </c>
    </row>
    <row r="403" spans="1:5" x14ac:dyDescent="0.3">
      <c r="A403" s="53" t="s">
        <v>506</v>
      </c>
      <c r="B403" s="53">
        <v>95.8</v>
      </c>
      <c r="D403" s="53">
        <f t="shared" si="13"/>
        <v>2015</v>
      </c>
      <c r="E403" s="53">
        <f t="shared" si="14"/>
        <v>1267.1000000000001</v>
      </c>
    </row>
    <row r="404" spans="1:5" x14ac:dyDescent="0.3">
      <c r="A404" s="53" t="s">
        <v>507</v>
      </c>
      <c r="B404" s="53">
        <v>116.8</v>
      </c>
      <c r="D404" s="53">
        <f t="shared" si="13"/>
        <v>2015</v>
      </c>
      <c r="E404" s="53">
        <f t="shared" si="14"/>
        <v>1267.1000000000001</v>
      </c>
    </row>
    <row r="405" spans="1:5" x14ac:dyDescent="0.3">
      <c r="A405" s="53" t="s">
        <v>508</v>
      </c>
      <c r="B405" s="53">
        <v>185.8</v>
      </c>
      <c r="D405" s="53">
        <f t="shared" si="13"/>
        <v>2015</v>
      </c>
      <c r="E405" s="53">
        <f t="shared" si="14"/>
        <v>1267.1000000000001</v>
      </c>
    </row>
    <row r="406" spans="1:5" x14ac:dyDescent="0.3">
      <c r="A406" s="53" t="s">
        <v>509</v>
      </c>
      <c r="B406" s="53">
        <v>61.6</v>
      </c>
      <c r="D406" s="53">
        <f t="shared" si="13"/>
        <v>2015</v>
      </c>
      <c r="E406" s="53">
        <f t="shared" si="14"/>
        <v>1267.1000000000001</v>
      </c>
    </row>
    <row r="407" spans="1:5" x14ac:dyDescent="0.3">
      <c r="A407" s="53" t="s">
        <v>510</v>
      </c>
      <c r="B407" s="53">
        <v>87.2</v>
      </c>
      <c r="D407" s="53">
        <f t="shared" si="13"/>
        <v>2015</v>
      </c>
      <c r="E407" s="53">
        <f t="shared" si="14"/>
        <v>1267.1000000000001</v>
      </c>
    </row>
    <row r="408" spans="1:5" x14ac:dyDescent="0.3">
      <c r="A408" s="53" t="s">
        <v>511</v>
      </c>
      <c r="B408" s="53">
        <v>72.599999999999994</v>
      </c>
      <c r="D408" s="53">
        <f t="shared" si="13"/>
        <v>2015</v>
      </c>
      <c r="E408" s="53">
        <f t="shared" si="14"/>
        <v>1267.1000000000001</v>
      </c>
    </row>
    <row r="409" spans="1:5" x14ac:dyDescent="0.3">
      <c r="A409" s="53" t="s">
        <v>512</v>
      </c>
      <c r="B409" s="53">
        <v>302.3</v>
      </c>
      <c r="D409" s="53">
        <f t="shared" si="13"/>
        <v>2015</v>
      </c>
      <c r="E409" s="53">
        <f t="shared" si="14"/>
        <v>1267.1000000000001</v>
      </c>
    </row>
    <row r="410" spans="1:5" x14ac:dyDescent="0.3">
      <c r="A410" s="53" t="s">
        <v>513</v>
      </c>
      <c r="B410" s="53">
        <v>126.6</v>
      </c>
      <c r="D410" s="53">
        <f t="shared" si="13"/>
        <v>2016</v>
      </c>
      <c r="E410" s="53">
        <f t="shared" si="14"/>
        <v>1955.7000000000003</v>
      </c>
    </row>
    <row r="411" spans="1:5" x14ac:dyDescent="0.3">
      <c r="A411" s="53" t="s">
        <v>514</v>
      </c>
      <c r="B411" s="53">
        <v>186</v>
      </c>
      <c r="D411" s="53">
        <f t="shared" si="13"/>
        <v>2016</v>
      </c>
      <c r="E411" s="53">
        <f t="shared" si="14"/>
        <v>1955.7000000000003</v>
      </c>
    </row>
    <row r="412" spans="1:5" x14ac:dyDescent="0.3">
      <c r="A412" s="53" t="s">
        <v>515</v>
      </c>
      <c r="B412" s="53">
        <v>6.2</v>
      </c>
      <c r="D412" s="53">
        <f t="shared" si="13"/>
        <v>2016</v>
      </c>
      <c r="E412" s="53">
        <f t="shared" si="14"/>
        <v>1955.7000000000003</v>
      </c>
    </row>
    <row r="413" spans="1:5" x14ac:dyDescent="0.3">
      <c r="A413" s="53" t="s">
        <v>516</v>
      </c>
      <c r="B413" s="53">
        <v>89.8</v>
      </c>
      <c r="D413" s="53">
        <f t="shared" si="13"/>
        <v>2016</v>
      </c>
      <c r="E413" s="53">
        <f t="shared" si="14"/>
        <v>1955.7000000000003</v>
      </c>
    </row>
    <row r="414" spans="1:5" x14ac:dyDescent="0.3">
      <c r="A414" s="53" t="s">
        <v>517</v>
      </c>
      <c r="B414" s="53">
        <v>193.8</v>
      </c>
      <c r="D414" s="53">
        <f t="shared" si="13"/>
        <v>2016</v>
      </c>
      <c r="E414" s="53">
        <f t="shared" si="14"/>
        <v>1955.7000000000003</v>
      </c>
    </row>
    <row r="415" spans="1:5" x14ac:dyDescent="0.3">
      <c r="A415" s="53" t="s">
        <v>518</v>
      </c>
      <c r="B415" s="53">
        <v>162.80000000000001</v>
      </c>
      <c r="D415" s="53">
        <f t="shared" si="13"/>
        <v>2016</v>
      </c>
      <c r="E415" s="53">
        <f t="shared" si="14"/>
        <v>1955.7000000000003</v>
      </c>
    </row>
    <row r="416" spans="1:5" x14ac:dyDescent="0.3">
      <c r="A416" s="53" t="s">
        <v>519</v>
      </c>
      <c r="B416" s="53">
        <v>168.6</v>
      </c>
      <c r="D416" s="53">
        <f t="shared" si="13"/>
        <v>2016</v>
      </c>
      <c r="E416" s="53">
        <f t="shared" si="14"/>
        <v>1955.7000000000003</v>
      </c>
    </row>
    <row r="417" spans="1:5" x14ac:dyDescent="0.3">
      <c r="A417" s="53" t="s">
        <v>520</v>
      </c>
      <c r="B417" s="53">
        <v>139.19999999999999</v>
      </c>
      <c r="D417" s="53">
        <f t="shared" si="13"/>
        <v>2016</v>
      </c>
      <c r="E417" s="53">
        <f t="shared" si="14"/>
        <v>1955.7000000000003</v>
      </c>
    </row>
    <row r="418" spans="1:5" x14ac:dyDescent="0.3">
      <c r="A418" s="53" t="s">
        <v>521</v>
      </c>
      <c r="B418" s="53">
        <v>118.9</v>
      </c>
      <c r="D418" s="53">
        <f t="shared" si="13"/>
        <v>2016</v>
      </c>
      <c r="E418" s="53">
        <f t="shared" si="14"/>
        <v>1955.7000000000003</v>
      </c>
    </row>
    <row r="419" spans="1:5" x14ac:dyDescent="0.3">
      <c r="A419" s="53" t="s">
        <v>522</v>
      </c>
      <c r="B419" s="53">
        <v>181</v>
      </c>
      <c r="D419" s="53">
        <f t="shared" si="13"/>
        <v>2016</v>
      </c>
      <c r="E419" s="53">
        <f t="shared" si="14"/>
        <v>1955.7000000000003</v>
      </c>
    </row>
    <row r="420" spans="1:5" x14ac:dyDescent="0.3">
      <c r="A420" s="53" t="s">
        <v>523</v>
      </c>
      <c r="B420" s="53">
        <v>290.2</v>
      </c>
      <c r="D420" s="53">
        <f t="shared" si="13"/>
        <v>2016</v>
      </c>
      <c r="E420" s="53">
        <f t="shared" si="14"/>
        <v>1955.7000000000003</v>
      </c>
    </row>
    <row r="421" spans="1:5" x14ac:dyDescent="0.3">
      <c r="A421" s="53" t="s">
        <v>524</v>
      </c>
      <c r="B421" s="53">
        <v>292.60000000000002</v>
      </c>
      <c r="D421" s="53">
        <f t="shared" si="13"/>
        <v>2016</v>
      </c>
      <c r="E421" s="53">
        <f t="shared" si="14"/>
        <v>1955.7000000000003</v>
      </c>
    </row>
    <row r="422" spans="1:5" x14ac:dyDescent="0.3">
      <c r="A422" s="53" t="s">
        <v>525</v>
      </c>
      <c r="B422" s="53">
        <v>197.6</v>
      </c>
      <c r="D422" s="53">
        <f t="shared" si="13"/>
        <v>2017</v>
      </c>
      <c r="E422" s="53">
        <f t="shared" si="14"/>
        <v>2045.6000000000001</v>
      </c>
    </row>
    <row r="423" spans="1:5" x14ac:dyDescent="0.3">
      <c r="A423" s="53" t="s">
        <v>526</v>
      </c>
      <c r="B423" s="53">
        <v>158.4</v>
      </c>
      <c r="D423" s="53">
        <f t="shared" si="13"/>
        <v>2017</v>
      </c>
      <c r="E423" s="53">
        <f t="shared" si="14"/>
        <v>2045.6000000000001</v>
      </c>
    </row>
    <row r="424" spans="1:5" x14ac:dyDescent="0.3">
      <c r="A424" s="53" t="s">
        <v>527</v>
      </c>
      <c r="B424" s="53">
        <v>136.19999999999999</v>
      </c>
      <c r="D424" s="53">
        <f t="shared" si="13"/>
        <v>2017</v>
      </c>
      <c r="E424" s="53">
        <f t="shared" si="14"/>
        <v>2045.6000000000001</v>
      </c>
    </row>
    <row r="425" spans="1:5" x14ac:dyDescent="0.3">
      <c r="A425" s="53" t="s">
        <v>528</v>
      </c>
      <c r="B425" s="53">
        <v>208.6</v>
      </c>
      <c r="D425" s="53">
        <f t="shared" si="13"/>
        <v>2017</v>
      </c>
      <c r="E425" s="53">
        <f t="shared" si="14"/>
        <v>2045.6000000000001</v>
      </c>
    </row>
    <row r="426" spans="1:5" x14ac:dyDescent="0.3">
      <c r="A426" s="53" t="s">
        <v>529</v>
      </c>
      <c r="B426" s="53">
        <v>190</v>
      </c>
      <c r="D426" s="53">
        <f t="shared" si="13"/>
        <v>2017</v>
      </c>
      <c r="E426" s="53">
        <f t="shared" si="14"/>
        <v>2045.6000000000001</v>
      </c>
    </row>
    <row r="427" spans="1:5" x14ac:dyDescent="0.3">
      <c r="A427" s="53" t="s">
        <v>530</v>
      </c>
      <c r="B427" s="53">
        <v>106</v>
      </c>
      <c r="D427" s="53">
        <f t="shared" si="13"/>
        <v>2017</v>
      </c>
      <c r="E427" s="53">
        <f t="shared" si="14"/>
        <v>2045.6000000000001</v>
      </c>
    </row>
    <row r="428" spans="1:5" x14ac:dyDescent="0.3">
      <c r="A428" s="53" t="s">
        <v>531</v>
      </c>
      <c r="B428" s="53">
        <v>79.599999999999994</v>
      </c>
      <c r="D428" s="53">
        <f t="shared" si="13"/>
        <v>2017</v>
      </c>
      <c r="E428" s="53">
        <f t="shared" si="14"/>
        <v>2045.6000000000001</v>
      </c>
    </row>
    <row r="429" spans="1:5" x14ac:dyDescent="0.3">
      <c r="A429" s="53" t="s">
        <v>532</v>
      </c>
      <c r="B429" s="53">
        <v>84.2</v>
      </c>
      <c r="D429" s="53">
        <f t="shared" si="13"/>
        <v>2017</v>
      </c>
      <c r="E429" s="53">
        <f t="shared" si="14"/>
        <v>2045.6000000000001</v>
      </c>
    </row>
    <row r="430" spans="1:5" x14ac:dyDescent="0.3">
      <c r="A430" s="53" t="s">
        <v>533</v>
      </c>
      <c r="B430" s="53">
        <v>124.4</v>
      </c>
      <c r="D430" s="53">
        <f t="shared" si="13"/>
        <v>2017</v>
      </c>
      <c r="E430" s="53">
        <f t="shared" si="14"/>
        <v>2045.6000000000001</v>
      </c>
    </row>
    <row r="431" spans="1:5" x14ac:dyDescent="0.3">
      <c r="A431" s="53" t="s">
        <v>534</v>
      </c>
      <c r="B431" s="53">
        <v>120.8</v>
      </c>
      <c r="D431" s="53">
        <f t="shared" si="13"/>
        <v>2017</v>
      </c>
      <c r="E431" s="53">
        <f t="shared" si="14"/>
        <v>2045.6000000000001</v>
      </c>
    </row>
    <row r="432" spans="1:5" x14ac:dyDescent="0.3">
      <c r="A432" s="53" t="s">
        <v>535</v>
      </c>
      <c r="B432" s="53">
        <v>268.60000000000002</v>
      </c>
      <c r="D432" s="53">
        <f t="shared" si="13"/>
        <v>2017</v>
      </c>
      <c r="E432" s="53">
        <f t="shared" si="14"/>
        <v>2045.6000000000001</v>
      </c>
    </row>
    <row r="433" spans="1:5" x14ac:dyDescent="0.3">
      <c r="A433" s="53" t="s">
        <v>536</v>
      </c>
      <c r="B433" s="53">
        <v>371.2</v>
      </c>
      <c r="D433" s="53">
        <f t="shared" si="13"/>
        <v>2017</v>
      </c>
      <c r="E433" s="53">
        <f t="shared" si="14"/>
        <v>2045.6000000000001</v>
      </c>
    </row>
    <row r="434" spans="1:5" x14ac:dyDescent="0.3">
      <c r="A434" s="53" t="s">
        <v>537</v>
      </c>
      <c r="B434" s="53">
        <v>287</v>
      </c>
      <c r="D434" s="53">
        <f t="shared" si="13"/>
        <v>2018</v>
      </c>
      <c r="E434" s="53">
        <f t="shared" si="14"/>
        <v>1708.1999999999998</v>
      </c>
    </row>
    <row r="435" spans="1:5" x14ac:dyDescent="0.3">
      <c r="A435" s="53" t="s">
        <v>538</v>
      </c>
      <c r="B435" s="53">
        <v>14.8</v>
      </c>
      <c r="D435" s="53">
        <f t="shared" si="13"/>
        <v>2018</v>
      </c>
      <c r="E435" s="53">
        <f t="shared" si="14"/>
        <v>1708.1999999999998</v>
      </c>
    </row>
    <row r="436" spans="1:5" x14ac:dyDescent="0.3">
      <c r="A436" s="53" t="s">
        <v>539</v>
      </c>
      <c r="B436" s="53">
        <v>44.6</v>
      </c>
      <c r="D436" s="53">
        <f t="shared" si="13"/>
        <v>2018</v>
      </c>
      <c r="E436" s="53">
        <f t="shared" si="14"/>
        <v>1708.1999999999998</v>
      </c>
    </row>
    <row r="437" spans="1:5" x14ac:dyDescent="0.3">
      <c r="A437" s="53" t="s">
        <v>540</v>
      </c>
      <c r="B437" s="53">
        <v>61.2</v>
      </c>
      <c r="D437" s="53">
        <f t="shared" si="13"/>
        <v>2018</v>
      </c>
      <c r="E437" s="53">
        <f t="shared" si="14"/>
        <v>1708.1999999999998</v>
      </c>
    </row>
    <row r="438" spans="1:5" x14ac:dyDescent="0.3">
      <c r="A438" s="53" t="s">
        <v>541</v>
      </c>
      <c r="B438" s="53">
        <v>132.19999999999999</v>
      </c>
      <c r="D438" s="53">
        <f t="shared" si="13"/>
        <v>2018</v>
      </c>
      <c r="E438" s="53">
        <f t="shared" si="14"/>
        <v>1708.1999999999998</v>
      </c>
    </row>
    <row r="439" spans="1:5" x14ac:dyDescent="0.3">
      <c r="A439" s="53" t="s">
        <v>542</v>
      </c>
      <c r="B439" s="53">
        <v>182.6</v>
      </c>
      <c r="D439" s="53">
        <f t="shared" si="13"/>
        <v>2018</v>
      </c>
      <c r="E439" s="53">
        <f t="shared" si="14"/>
        <v>1708.1999999999998</v>
      </c>
    </row>
    <row r="440" spans="1:5" x14ac:dyDescent="0.3">
      <c r="A440" s="53" t="s">
        <v>543</v>
      </c>
      <c r="B440" s="53">
        <v>143.19999999999999</v>
      </c>
      <c r="D440" s="53">
        <f t="shared" si="13"/>
        <v>2018</v>
      </c>
      <c r="E440" s="53">
        <f t="shared" si="14"/>
        <v>1708.1999999999998</v>
      </c>
    </row>
    <row r="441" spans="1:5" x14ac:dyDescent="0.3">
      <c r="A441" s="53" t="s">
        <v>544</v>
      </c>
      <c r="B441" s="53">
        <v>121.6</v>
      </c>
      <c r="D441" s="53">
        <f t="shared" si="13"/>
        <v>2018</v>
      </c>
      <c r="E441" s="53">
        <f t="shared" si="14"/>
        <v>1708.1999999999998</v>
      </c>
    </row>
    <row r="442" spans="1:5" x14ac:dyDescent="0.3">
      <c r="A442" s="53" t="s">
        <v>545</v>
      </c>
      <c r="B442" s="53">
        <v>144.4</v>
      </c>
      <c r="D442" s="53">
        <f t="shared" si="13"/>
        <v>2018</v>
      </c>
      <c r="E442" s="53">
        <f t="shared" si="14"/>
        <v>1708.1999999999998</v>
      </c>
    </row>
    <row r="443" spans="1:5" x14ac:dyDescent="0.3">
      <c r="A443" s="53" t="s">
        <v>546</v>
      </c>
      <c r="B443" s="53">
        <v>234.4</v>
      </c>
      <c r="D443" s="53">
        <f t="shared" si="13"/>
        <v>2018</v>
      </c>
      <c r="E443" s="53">
        <f t="shared" si="14"/>
        <v>1708.1999999999998</v>
      </c>
    </row>
    <row r="444" spans="1:5" x14ac:dyDescent="0.3">
      <c r="A444" s="53" t="s">
        <v>547</v>
      </c>
      <c r="B444" s="53">
        <v>169.6</v>
      </c>
      <c r="D444" s="53">
        <f t="shared" si="13"/>
        <v>2018</v>
      </c>
      <c r="E444" s="53">
        <f t="shared" si="14"/>
        <v>1708.1999999999998</v>
      </c>
    </row>
    <row r="445" spans="1:5" x14ac:dyDescent="0.3">
      <c r="A445" s="53" t="s">
        <v>548</v>
      </c>
      <c r="B445" s="53">
        <v>172.6</v>
      </c>
      <c r="D445" s="53">
        <f t="shared" si="13"/>
        <v>2018</v>
      </c>
      <c r="E445" s="53">
        <f t="shared" si="14"/>
        <v>1708.1999999999998</v>
      </c>
    </row>
    <row r="446" spans="1:5" x14ac:dyDescent="0.3">
      <c r="A446" s="53" t="s">
        <v>549</v>
      </c>
      <c r="B446" s="53">
        <v>63.6</v>
      </c>
      <c r="D446" s="53">
        <f t="shared" si="13"/>
        <v>2019</v>
      </c>
      <c r="E446" s="53">
        <f t="shared" si="14"/>
        <v>1367.5</v>
      </c>
    </row>
    <row r="447" spans="1:5" x14ac:dyDescent="0.3">
      <c r="A447" s="53" t="s">
        <v>550</v>
      </c>
      <c r="B447" s="53">
        <v>31.6</v>
      </c>
      <c r="D447" s="53">
        <f t="shared" si="13"/>
        <v>2019</v>
      </c>
      <c r="E447" s="53">
        <f t="shared" si="14"/>
        <v>1367.5</v>
      </c>
    </row>
    <row r="448" spans="1:5" x14ac:dyDescent="0.3">
      <c r="A448" s="53" t="s">
        <v>551</v>
      </c>
      <c r="B448" s="53">
        <v>72.2</v>
      </c>
      <c r="D448" s="53">
        <f t="shared" si="13"/>
        <v>2019</v>
      </c>
      <c r="E448" s="53">
        <f t="shared" si="14"/>
        <v>1367.5</v>
      </c>
    </row>
    <row r="449" spans="1:5" x14ac:dyDescent="0.3">
      <c r="A449" s="53" t="s">
        <v>552</v>
      </c>
      <c r="B449" s="53">
        <v>174.8</v>
      </c>
      <c r="D449" s="53">
        <f t="shared" si="13"/>
        <v>2019</v>
      </c>
      <c r="E449" s="53">
        <f t="shared" si="14"/>
        <v>1367.5</v>
      </c>
    </row>
    <row r="450" spans="1:5" x14ac:dyDescent="0.3">
      <c r="A450" s="53" t="s">
        <v>553</v>
      </c>
      <c r="B450" s="53">
        <v>69</v>
      </c>
      <c r="D450" s="53">
        <f t="shared" ref="D450:D513" si="15">YEAR(DATEVALUE(A450 &amp; "-01"))</f>
        <v>2019</v>
      </c>
      <c r="E450" s="53">
        <f t="shared" ref="E450:E513" si="16">SUMIFS($B:$B,$D:$D,D450)</f>
        <v>1367.5</v>
      </c>
    </row>
    <row r="451" spans="1:5" x14ac:dyDescent="0.3">
      <c r="A451" s="53" t="s">
        <v>554</v>
      </c>
      <c r="B451" s="53">
        <v>173.8</v>
      </c>
      <c r="D451" s="53">
        <f t="shared" si="15"/>
        <v>2019</v>
      </c>
      <c r="E451" s="53">
        <f t="shared" si="16"/>
        <v>1367.5</v>
      </c>
    </row>
    <row r="452" spans="1:5" x14ac:dyDescent="0.3">
      <c r="A452" s="53" t="s">
        <v>555</v>
      </c>
      <c r="B452" s="53">
        <v>12.2</v>
      </c>
      <c r="D452" s="53">
        <f t="shared" si="15"/>
        <v>2019</v>
      </c>
      <c r="E452" s="53">
        <f t="shared" si="16"/>
        <v>1367.5</v>
      </c>
    </row>
    <row r="453" spans="1:5" x14ac:dyDescent="0.3">
      <c r="A453" s="53" t="s">
        <v>556</v>
      </c>
      <c r="B453" s="53">
        <v>11.8</v>
      </c>
      <c r="D453" s="53">
        <f t="shared" si="15"/>
        <v>2019</v>
      </c>
      <c r="E453" s="53">
        <f t="shared" si="16"/>
        <v>1367.5</v>
      </c>
    </row>
    <row r="454" spans="1:5" x14ac:dyDescent="0.3">
      <c r="A454" s="53" t="s">
        <v>557</v>
      </c>
      <c r="B454" s="53">
        <v>22.8</v>
      </c>
      <c r="D454" s="53">
        <f t="shared" si="15"/>
        <v>2019</v>
      </c>
      <c r="E454" s="53">
        <f t="shared" si="16"/>
        <v>1367.5</v>
      </c>
    </row>
    <row r="455" spans="1:5" x14ac:dyDescent="0.3">
      <c r="A455" s="53" t="s">
        <v>558</v>
      </c>
      <c r="B455" s="53">
        <v>176.8</v>
      </c>
      <c r="D455" s="53">
        <f t="shared" si="15"/>
        <v>2019</v>
      </c>
      <c r="E455" s="53">
        <f t="shared" si="16"/>
        <v>1367.5</v>
      </c>
    </row>
    <row r="456" spans="1:5" x14ac:dyDescent="0.3">
      <c r="A456" s="53" t="s">
        <v>559</v>
      </c>
      <c r="B456" s="53">
        <v>137.4</v>
      </c>
      <c r="D456" s="53">
        <f t="shared" si="15"/>
        <v>2019</v>
      </c>
      <c r="E456" s="53">
        <f t="shared" si="16"/>
        <v>1367.5</v>
      </c>
    </row>
    <row r="457" spans="1:5" x14ac:dyDescent="0.3">
      <c r="A457" s="53" t="s">
        <v>560</v>
      </c>
      <c r="B457" s="53">
        <v>421.5</v>
      </c>
      <c r="D457" s="53">
        <f t="shared" si="15"/>
        <v>2019</v>
      </c>
      <c r="E457" s="53">
        <f t="shared" si="16"/>
        <v>1367.5</v>
      </c>
    </row>
    <row r="458" spans="1:5" x14ac:dyDescent="0.3">
      <c r="A458" s="53" t="s">
        <v>561</v>
      </c>
      <c r="B458" s="53">
        <v>88.4</v>
      </c>
      <c r="D458" s="53">
        <f t="shared" si="15"/>
        <v>2020</v>
      </c>
      <c r="E458" s="53">
        <f t="shared" si="16"/>
        <v>1886.6</v>
      </c>
    </row>
    <row r="459" spans="1:5" x14ac:dyDescent="0.3">
      <c r="A459" s="53" t="s">
        <v>562</v>
      </c>
      <c r="B459" s="53">
        <v>65</v>
      </c>
      <c r="D459" s="53">
        <f t="shared" si="15"/>
        <v>2020</v>
      </c>
      <c r="E459" s="53">
        <f t="shared" si="16"/>
        <v>1886.6</v>
      </c>
    </row>
    <row r="460" spans="1:5" x14ac:dyDescent="0.3">
      <c r="A460" s="53" t="s">
        <v>563</v>
      </c>
      <c r="B460" s="53">
        <v>108.8</v>
      </c>
      <c r="D460" s="53">
        <f t="shared" si="15"/>
        <v>2020</v>
      </c>
      <c r="E460" s="53">
        <f t="shared" si="16"/>
        <v>1886.6</v>
      </c>
    </row>
    <row r="461" spans="1:5" x14ac:dyDescent="0.3">
      <c r="A461" s="53" t="s">
        <v>564</v>
      </c>
      <c r="B461" s="53">
        <v>188</v>
      </c>
      <c r="D461" s="53">
        <f t="shared" si="15"/>
        <v>2020</v>
      </c>
      <c r="E461" s="53">
        <f t="shared" si="16"/>
        <v>1886.6</v>
      </c>
    </row>
    <row r="462" spans="1:5" x14ac:dyDescent="0.3">
      <c r="A462" s="53" t="s">
        <v>565</v>
      </c>
      <c r="B462" s="53">
        <v>255.6</v>
      </c>
      <c r="D462" s="53">
        <f t="shared" si="15"/>
        <v>2020</v>
      </c>
      <c r="E462" s="53">
        <f t="shared" si="16"/>
        <v>1886.6</v>
      </c>
    </row>
    <row r="463" spans="1:5" x14ac:dyDescent="0.3">
      <c r="A463" s="53" t="s">
        <v>566</v>
      </c>
      <c r="B463" s="53">
        <v>233.8</v>
      </c>
      <c r="D463" s="53">
        <f t="shared" si="15"/>
        <v>2020</v>
      </c>
      <c r="E463" s="53">
        <f t="shared" si="16"/>
        <v>1886.6</v>
      </c>
    </row>
    <row r="464" spans="1:5" x14ac:dyDescent="0.3">
      <c r="A464" s="53" t="s">
        <v>567</v>
      </c>
      <c r="B464" s="53">
        <v>140.80000000000001</v>
      </c>
      <c r="D464" s="53">
        <f t="shared" si="15"/>
        <v>2020</v>
      </c>
      <c r="E464" s="53">
        <f t="shared" si="16"/>
        <v>1886.6</v>
      </c>
    </row>
    <row r="465" spans="1:5" x14ac:dyDescent="0.3">
      <c r="A465" s="53" t="s">
        <v>568</v>
      </c>
      <c r="B465" s="53">
        <v>103.4</v>
      </c>
      <c r="D465" s="53">
        <f t="shared" si="15"/>
        <v>2020</v>
      </c>
      <c r="E465" s="53">
        <f t="shared" si="16"/>
        <v>1886.6</v>
      </c>
    </row>
    <row r="466" spans="1:5" x14ac:dyDescent="0.3">
      <c r="A466" s="53" t="s">
        <v>569</v>
      </c>
      <c r="B466" s="53">
        <v>150.19999999999999</v>
      </c>
      <c r="D466" s="53">
        <f t="shared" si="15"/>
        <v>2020</v>
      </c>
      <c r="E466" s="53">
        <f t="shared" si="16"/>
        <v>1886.6</v>
      </c>
    </row>
    <row r="467" spans="1:5" x14ac:dyDescent="0.3">
      <c r="A467" s="53" t="s">
        <v>570</v>
      </c>
      <c r="B467" s="53">
        <v>78.8</v>
      </c>
      <c r="D467" s="53">
        <f t="shared" si="15"/>
        <v>2020</v>
      </c>
      <c r="E467" s="53">
        <f t="shared" si="16"/>
        <v>1886.6</v>
      </c>
    </row>
    <row r="468" spans="1:5" x14ac:dyDescent="0.3">
      <c r="A468" s="53" t="s">
        <v>571</v>
      </c>
      <c r="B468" s="53">
        <v>220.6</v>
      </c>
      <c r="D468" s="53">
        <f t="shared" si="15"/>
        <v>2020</v>
      </c>
      <c r="E468" s="53">
        <f t="shared" si="16"/>
        <v>1886.6</v>
      </c>
    </row>
    <row r="469" spans="1:5" x14ac:dyDescent="0.3">
      <c r="A469" s="53" t="s">
        <v>572</v>
      </c>
      <c r="B469" s="53">
        <v>253.2</v>
      </c>
      <c r="D469" s="53">
        <f t="shared" si="15"/>
        <v>2020</v>
      </c>
      <c r="E469" s="53">
        <f t="shared" si="16"/>
        <v>1886.6</v>
      </c>
    </row>
    <row r="470" spans="1:5" x14ac:dyDescent="0.3">
      <c r="A470" s="53" t="s">
        <v>573</v>
      </c>
      <c r="B470" s="53">
        <v>692.8</v>
      </c>
      <c r="D470" s="53">
        <f t="shared" si="15"/>
        <v>2021</v>
      </c>
      <c r="E470" s="53">
        <f t="shared" si="16"/>
        <v>2809.6</v>
      </c>
    </row>
    <row r="471" spans="1:5" x14ac:dyDescent="0.3">
      <c r="A471" s="53" t="s">
        <v>574</v>
      </c>
      <c r="B471" s="53">
        <v>1</v>
      </c>
      <c r="D471" s="53">
        <f t="shared" si="15"/>
        <v>2021</v>
      </c>
      <c r="E471" s="53">
        <f t="shared" si="16"/>
        <v>2809.6</v>
      </c>
    </row>
    <row r="472" spans="1:5" x14ac:dyDescent="0.3">
      <c r="A472" s="53" t="s">
        <v>575</v>
      </c>
      <c r="B472" s="53">
        <v>182.4</v>
      </c>
      <c r="D472" s="53">
        <f t="shared" si="15"/>
        <v>2021</v>
      </c>
      <c r="E472" s="53">
        <f t="shared" si="16"/>
        <v>2809.6</v>
      </c>
    </row>
    <row r="473" spans="1:5" x14ac:dyDescent="0.3">
      <c r="A473" s="53" t="s">
        <v>576</v>
      </c>
      <c r="B473" s="53">
        <v>290.39999999999998</v>
      </c>
      <c r="D473" s="53">
        <f t="shared" si="15"/>
        <v>2021</v>
      </c>
      <c r="E473" s="53">
        <f t="shared" si="16"/>
        <v>2809.6</v>
      </c>
    </row>
    <row r="474" spans="1:5" x14ac:dyDescent="0.3">
      <c r="A474" s="53" t="s">
        <v>577</v>
      </c>
      <c r="B474" s="53">
        <v>245.8</v>
      </c>
      <c r="D474" s="53">
        <f t="shared" si="15"/>
        <v>2021</v>
      </c>
      <c r="E474" s="53">
        <f t="shared" si="16"/>
        <v>2809.6</v>
      </c>
    </row>
    <row r="475" spans="1:5" x14ac:dyDescent="0.3">
      <c r="A475" s="53" t="s">
        <v>578</v>
      </c>
      <c r="B475" s="53">
        <v>93.4</v>
      </c>
      <c r="D475" s="53">
        <f t="shared" si="15"/>
        <v>2021</v>
      </c>
      <c r="E475" s="53">
        <f t="shared" si="16"/>
        <v>2809.6</v>
      </c>
    </row>
    <row r="476" spans="1:5" x14ac:dyDescent="0.3">
      <c r="A476" s="53" t="s">
        <v>579</v>
      </c>
      <c r="B476" s="53">
        <v>195.8</v>
      </c>
      <c r="D476" s="53">
        <f t="shared" si="15"/>
        <v>2021</v>
      </c>
      <c r="E476" s="53">
        <f t="shared" si="16"/>
        <v>2809.6</v>
      </c>
    </row>
    <row r="477" spans="1:5" x14ac:dyDescent="0.3">
      <c r="A477" s="53" t="s">
        <v>580</v>
      </c>
      <c r="B477" s="53">
        <v>293.60000000000002</v>
      </c>
      <c r="D477" s="53">
        <f t="shared" si="15"/>
        <v>2021</v>
      </c>
      <c r="E477" s="53">
        <f t="shared" si="16"/>
        <v>2809.6</v>
      </c>
    </row>
    <row r="478" spans="1:5" x14ac:dyDescent="0.3">
      <c r="A478" s="53" t="s">
        <v>581</v>
      </c>
      <c r="B478" s="53">
        <v>205.4</v>
      </c>
      <c r="D478" s="53">
        <f t="shared" si="15"/>
        <v>2021</v>
      </c>
      <c r="E478" s="53">
        <f t="shared" si="16"/>
        <v>2809.6</v>
      </c>
    </row>
    <row r="479" spans="1:5" x14ac:dyDescent="0.3">
      <c r="A479" s="53" t="s">
        <v>582</v>
      </c>
      <c r="B479" s="53">
        <v>177</v>
      </c>
      <c r="D479" s="53">
        <f t="shared" si="15"/>
        <v>2021</v>
      </c>
      <c r="E479" s="53">
        <f t="shared" si="16"/>
        <v>2809.6</v>
      </c>
    </row>
    <row r="480" spans="1:5" x14ac:dyDescent="0.3">
      <c r="A480" s="53" t="s">
        <v>583</v>
      </c>
      <c r="B480" s="53">
        <v>312.39999999999998</v>
      </c>
      <c r="D480" s="53">
        <f t="shared" si="15"/>
        <v>2021</v>
      </c>
      <c r="E480" s="53">
        <f t="shared" si="16"/>
        <v>2809.6</v>
      </c>
    </row>
    <row r="481" spans="1:5" x14ac:dyDescent="0.3">
      <c r="A481" s="53" t="s">
        <v>584</v>
      </c>
      <c r="B481" s="53">
        <v>119.6</v>
      </c>
      <c r="D481" s="53">
        <f t="shared" si="15"/>
        <v>2021</v>
      </c>
      <c r="E481" s="53">
        <f t="shared" si="16"/>
        <v>2809.6</v>
      </c>
    </row>
    <row r="482" spans="1:5" x14ac:dyDescent="0.3">
      <c r="A482" s="53" t="s">
        <v>585</v>
      </c>
      <c r="B482" s="53">
        <v>99.8</v>
      </c>
      <c r="D482" s="53">
        <f t="shared" si="15"/>
        <v>2022</v>
      </c>
      <c r="E482" s="53">
        <f t="shared" si="16"/>
        <v>2207.2000000000003</v>
      </c>
    </row>
    <row r="483" spans="1:5" x14ac:dyDescent="0.3">
      <c r="A483" s="53" t="s">
        <v>586</v>
      </c>
      <c r="B483" s="53">
        <v>175</v>
      </c>
      <c r="D483" s="53">
        <f t="shared" si="15"/>
        <v>2022</v>
      </c>
      <c r="E483" s="53">
        <f t="shared" si="16"/>
        <v>2207.2000000000003</v>
      </c>
    </row>
    <row r="484" spans="1:5" x14ac:dyDescent="0.3">
      <c r="A484" s="53" t="s">
        <v>587</v>
      </c>
      <c r="B484" s="53">
        <v>163.19999999999999</v>
      </c>
      <c r="D484" s="53">
        <f t="shared" si="15"/>
        <v>2022</v>
      </c>
      <c r="E484" s="53">
        <f t="shared" si="16"/>
        <v>2207.2000000000003</v>
      </c>
    </row>
    <row r="485" spans="1:5" x14ac:dyDescent="0.3">
      <c r="A485" s="53" t="s">
        <v>588</v>
      </c>
      <c r="B485" s="53">
        <v>239.6</v>
      </c>
      <c r="D485" s="53">
        <f t="shared" si="15"/>
        <v>2022</v>
      </c>
      <c r="E485" s="53">
        <f t="shared" si="16"/>
        <v>2207.2000000000003</v>
      </c>
    </row>
    <row r="486" spans="1:5" x14ac:dyDescent="0.3">
      <c r="A486" s="53" t="s">
        <v>589</v>
      </c>
      <c r="B486" s="53">
        <v>102</v>
      </c>
      <c r="D486" s="53">
        <f t="shared" si="15"/>
        <v>2022</v>
      </c>
      <c r="E486" s="53">
        <f t="shared" si="16"/>
        <v>2207.2000000000003</v>
      </c>
    </row>
    <row r="487" spans="1:5" x14ac:dyDescent="0.3">
      <c r="A487" s="53" t="s">
        <v>590</v>
      </c>
      <c r="B487" s="53">
        <v>211.8</v>
      </c>
      <c r="D487" s="53">
        <f t="shared" si="15"/>
        <v>2022</v>
      </c>
      <c r="E487" s="53">
        <f t="shared" si="16"/>
        <v>2207.2000000000003</v>
      </c>
    </row>
    <row r="488" spans="1:5" x14ac:dyDescent="0.3">
      <c r="A488" s="53" t="s">
        <v>591</v>
      </c>
      <c r="B488" s="53">
        <v>145.19999999999999</v>
      </c>
      <c r="D488" s="53">
        <f t="shared" si="15"/>
        <v>2022</v>
      </c>
      <c r="E488" s="53">
        <f t="shared" si="16"/>
        <v>2207.2000000000003</v>
      </c>
    </row>
    <row r="489" spans="1:5" x14ac:dyDescent="0.3">
      <c r="A489" s="53" t="s">
        <v>592</v>
      </c>
      <c r="B489" s="53">
        <v>141.4</v>
      </c>
      <c r="D489" s="53">
        <f t="shared" si="15"/>
        <v>2022</v>
      </c>
      <c r="E489" s="53">
        <f t="shared" si="16"/>
        <v>2207.2000000000003</v>
      </c>
    </row>
    <row r="490" spans="1:5" x14ac:dyDescent="0.3">
      <c r="A490" s="53" t="s">
        <v>593</v>
      </c>
      <c r="B490" s="53">
        <v>121</v>
      </c>
      <c r="D490" s="53">
        <f t="shared" si="15"/>
        <v>2022</v>
      </c>
      <c r="E490" s="53">
        <f t="shared" si="16"/>
        <v>2207.2000000000003</v>
      </c>
    </row>
    <row r="491" spans="1:5" x14ac:dyDescent="0.3">
      <c r="A491" s="53" t="s">
        <v>594</v>
      </c>
      <c r="B491" s="53">
        <v>279</v>
      </c>
      <c r="D491" s="53">
        <f t="shared" si="15"/>
        <v>2022</v>
      </c>
      <c r="E491" s="53">
        <f t="shared" si="16"/>
        <v>2207.2000000000003</v>
      </c>
    </row>
    <row r="492" spans="1:5" x14ac:dyDescent="0.3">
      <c r="A492" s="53" t="s">
        <v>595</v>
      </c>
      <c r="B492" s="53">
        <v>313.8</v>
      </c>
      <c r="D492" s="53">
        <f t="shared" si="15"/>
        <v>2022</v>
      </c>
      <c r="E492" s="53">
        <f t="shared" si="16"/>
        <v>2207.2000000000003</v>
      </c>
    </row>
    <row r="493" spans="1:5" x14ac:dyDescent="0.3">
      <c r="A493" s="53" t="s">
        <v>596</v>
      </c>
      <c r="B493" s="53">
        <v>215.4</v>
      </c>
      <c r="D493" s="53">
        <f t="shared" si="15"/>
        <v>2022</v>
      </c>
      <c r="E493" s="53">
        <f t="shared" si="16"/>
        <v>2207.2000000000003</v>
      </c>
    </row>
    <row r="494" spans="1:5" x14ac:dyDescent="0.3">
      <c r="A494" s="53" t="s">
        <v>597</v>
      </c>
      <c r="B494" s="53">
        <v>302.60000000000002</v>
      </c>
      <c r="D494" s="53">
        <f t="shared" si="15"/>
        <v>2023</v>
      </c>
      <c r="E494" s="53">
        <f t="shared" si="16"/>
        <v>2411.1999999999998</v>
      </c>
    </row>
    <row r="495" spans="1:5" x14ac:dyDescent="0.3">
      <c r="A495" s="53" t="s">
        <v>598</v>
      </c>
      <c r="B495" s="53">
        <v>324.39999999999998</v>
      </c>
      <c r="D495" s="53">
        <f t="shared" si="15"/>
        <v>2023</v>
      </c>
      <c r="E495" s="53">
        <f t="shared" si="16"/>
        <v>2411.1999999999998</v>
      </c>
    </row>
    <row r="496" spans="1:5" x14ac:dyDescent="0.3">
      <c r="A496" s="53" t="s">
        <v>599</v>
      </c>
      <c r="B496" s="53">
        <v>243.4</v>
      </c>
      <c r="D496" s="53">
        <f t="shared" si="15"/>
        <v>2023</v>
      </c>
      <c r="E496" s="53">
        <f t="shared" si="16"/>
        <v>2411.1999999999998</v>
      </c>
    </row>
    <row r="497" spans="1:5" x14ac:dyDescent="0.3">
      <c r="A497" s="53" t="s">
        <v>600</v>
      </c>
      <c r="B497" s="53">
        <v>222.8</v>
      </c>
      <c r="D497" s="53">
        <f t="shared" si="15"/>
        <v>2023</v>
      </c>
      <c r="E497" s="53">
        <f t="shared" si="16"/>
        <v>2411.1999999999998</v>
      </c>
    </row>
    <row r="498" spans="1:5" x14ac:dyDescent="0.3">
      <c r="A498" s="53" t="s">
        <v>601</v>
      </c>
      <c r="B498" s="53">
        <v>112.8</v>
      </c>
      <c r="D498" s="53">
        <f t="shared" si="15"/>
        <v>2023</v>
      </c>
      <c r="E498" s="53">
        <f t="shared" si="16"/>
        <v>2411.1999999999998</v>
      </c>
    </row>
    <row r="499" spans="1:5" x14ac:dyDescent="0.3">
      <c r="A499" s="53" t="s">
        <v>602</v>
      </c>
      <c r="B499" s="53">
        <v>228.4</v>
      </c>
      <c r="D499" s="53">
        <f t="shared" si="15"/>
        <v>2023</v>
      </c>
      <c r="E499" s="53">
        <f t="shared" si="16"/>
        <v>2411.1999999999998</v>
      </c>
    </row>
    <row r="500" spans="1:5" x14ac:dyDescent="0.3">
      <c r="A500" s="53" t="s">
        <v>603</v>
      </c>
      <c r="B500" s="53">
        <v>158</v>
      </c>
      <c r="D500" s="53">
        <f t="shared" si="15"/>
        <v>2023</v>
      </c>
      <c r="E500" s="53">
        <f t="shared" si="16"/>
        <v>2411.1999999999998</v>
      </c>
    </row>
    <row r="501" spans="1:5" x14ac:dyDescent="0.3">
      <c r="A501" s="53" t="s">
        <v>604</v>
      </c>
      <c r="B501" s="53">
        <v>114</v>
      </c>
      <c r="D501" s="53">
        <f t="shared" si="15"/>
        <v>2023</v>
      </c>
      <c r="E501" s="53">
        <f t="shared" si="16"/>
        <v>2411.1999999999998</v>
      </c>
    </row>
    <row r="502" spans="1:5" x14ac:dyDescent="0.3">
      <c r="A502" s="53" t="s">
        <v>605</v>
      </c>
      <c r="B502" s="53">
        <v>133</v>
      </c>
      <c r="D502" s="53">
        <f t="shared" si="15"/>
        <v>2023</v>
      </c>
      <c r="E502" s="53">
        <f t="shared" si="16"/>
        <v>2411.1999999999998</v>
      </c>
    </row>
    <row r="503" spans="1:5" x14ac:dyDescent="0.3">
      <c r="A503" s="53" t="s">
        <v>606</v>
      </c>
      <c r="B503" s="53">
        <v>96.6</v>
      </c>
      <c r="D503" s="53">
        <f t="shared" si="15"/>
        <v>2023</v>
      </c>
      <c r="E503" s="53">
        <f t="shared" si="16"/>
        <v>2411.1999999999998</v>
      </c>
    </row>
    <row r="504" spans="1:5" x14ac:dyDescent="0.3">
      <c r="A504" s="53" t="s">
        <v>607</v>
      </c>
      <c r="B504" s="53">
        <v>219</v>
      </c>
      <c r="D504" s="53">
        <f t="shared" si="15"/>
        <v>2023</v>
      </c>
      <c r="E504" s="53">
        <f t="shared" si="16"/>
        <v>2411.1999999999998</v>
      </c>
    </row>
    <row r="505" spans="1:5" x14ac:dyDescent="0.3">
      <c r="A505" s="53" t="s">
        <v>608</v>
      </c>
      <c r="B505" s="53">
        <v>256.2</v>
      </c>
      <c r="D505" s="53">
        <f t="shared" si="15"/>
        <v>2023</v>
      </c>
      <c r="E505" s="53">
        <f t="shared" si="16"/>
        <v>2411.1999999999998</v>
      </c>
    </row>
    <row r="506" spans="1:5" x14ac:dyDescent="0.3">
      <c r="A506" s="53" t="s">
        <v>609</v>
      </c>
      <c r="B506" s="53">
        <v>499.6</v>
      </c>
      <c r="D506" s="53">
        <f t="shared" si="15"/>
        <v>2024</v>
      </c>
      <c r="E506" s="53">
        <f t="shared" si="16"/>
        <v>2432</v>
      </c>
    </row>
    <row r="507" spans="1:5" x14ac:dyDescent="0.3">
      <c r="A507" s="53" t="s">
        <v>610</v>
      </c>
      <c r="B507" s="53">
        <v>60.2</v>
      </c>
      <c r="D507" s="53">
        <f t="shared" si="15"/>
        <v>2024</v>
      </c>
      <c r="E507" s="53">
        <f t="shared" si="16"/>
        <v>2432</v>
      </c>
    </row>
    <row r="508" spans="1:5" x14ac:dyDescent="0.3">
      <c r="A508" s="53" t="s">
        <v>611</v>
      </c>
      <c r="B508" s="53">
        <v>161.19999999999999</v>
      </c>
      <c r="D508" s="53">
        <f t="shared" si="15"/>
        <v>2024</v>
      </c>
      <c r="E508" s="53">
        <f t="shared" si="16"/>
        <v>2432</v>
      </c>
    </row>
    <row r="509" spans="1:5" x14ac:dyDescent="0.3">
      <c r="A509" s="53" t="s">
        <v>612</v>
      </c>
      <c r="B509" s="53">
        <v>204.8</v>
      </c>
      <c r="D509" s="53">
        <f t="shared" si="15"/>
        <v>2024</v>
      </c>
      <c r="E509" s="53">
        <f t="shared" si="16"/>
        <v>2432</v>
      </c>
    </row>
    <row r="510" spans="1:5" x14ac:dyDescent="0.3">
      <c r="A510" s="53" t="s">
        <v>613</v>
      </c>
      <c r="B510" s="53">
        <v>226.4</v>
      </c>
      <c r="D510" s="53">
        <f t="shared" si="15"/>
        <v>2024</v>
      </c>
      <c r="E510" s="53">
        <f t="shared" si="16"/>
        <v>2432</v>
      </c>
    </row>
    <row r="511" spans="1:5" x14ac:dyDescent="0.3">
      <c r="A511" s="53" t="s">
        <v>614</v>
      </c>
      <c r="B511" s="53">
        <v>245.4</v>
      </c>
      <c r="D511" s="53">
        <f t="shared" si="15"/>
        <v>2024</v>
      </c>
      <c r="E511" s="53">
        <f t="shared" si="16"/>
        <v>2432</v>
      </c>
    </row>
    <row r="512" spans="1:5" x14ac:dyDescent="0.3">
      <c r="A512" s="53" t="s">
        <v>615</v>
      </c>
      <c r="B512" s="53">
        <v>36.799999999999997</v>
      </c>
      <c r="D512" s="53">
        <f t="shared" si="15"/>
        <v>2024</v>
      </c>
      <c r="E512" s="53">
        <f t="shared" si="16"/>
        <v>2432</v>
      </c>
    </row>
    <row r="513" spans="1:5" x14ac:dyDescent="0.3">
      <c r="A513" s="53" t="s">
        <v>616</v>
      </c>
      <c r="B513" s="53">
        <v>85.8</v>
      </c>
      <c r="D513" s="53">
        <f t="shared" si="15"/>
        <v>2024</v>
      </c>
      <c r="E513" s="53">
        <f t="shared" si="16"/>
        <v>2432</v>
      </c>
    </row>
    <row r="514" spans="1:5" x14ac:dyDescent="0.3">
      <c r="A514" s="53" t="s">
        <v>617</v>
      </c>
      <c r="B514" s="53">
        <v>122.4</v>
      </c>
      <c r="D514" s="53">
        <f t="shared" ref="D514:D526" si="17">YEAR(DATEVALUE(A514 &amp; "-01"))</f>
        <v>2024</v>
      </c>
      <c r="E514" s="53">
        <f t="shared" ref="E514:E526" si="18">SUMIFS($B:$B,$D:$D,D514)</f>
        <v>2432</v>
      </c>
    </row>
    <row r="515" spans="1:5" x14ac:dyDescent="0.3">
      <c r="A515" s="53" t="s">
        <v>618</v>
      </c>
      <c r="B515" s="53">
        <v>147.6</v>
      </c>
      <c r="D515" s="53">
        <f t="shared" si="17"/>
        <v>2024</v>
      </c>
      <c r="E515" s="53">
        <f t="shared" si="18"/>
        <v>2432</v>
      </c>
    </row>
    <row r="516" spans="1:5" x14ac:dyDescent="0.3">
      <c r="A516" s="53" t="s">
        <v>619</v>
      </c>
      <c r="B516" s="53">
        <v>407.4</v>
      </c>
      <c r="D516" s="53">
        <f t="shared" si="17"/>
        <v>2024</v>
      </c>
      <c r="E516" s="53">
        <f t="shared" si="18"/>
        <v>2432</v>
      </c>
    </row>
    <row r="517" spans="1:5" x14ac:dyDescent="0.3">
      <c r="A517" s="53" t="s">
        <v>620</v>
      </c>
      <c r="B517" s="53">
        <v>234.4</v>
      </c>
      <c r="D517" s="53">
        <f t="shared" si="17"/>
        <v>2024</v>
      </c>
      <c r="E517" s="53">
        <f t="shared" si="18"/>
        <v>2432</v>
      </c>
    </row>
    <row r="518" spans="1:5" x14ac:dyDescent="0.3">
      <c r="A518" s="53" t="s">
        <v>621</v>
      </c>
      <c r="B518" s="53">
        <v>480.2</v>
      </c>
      <c r="D518" s="53">
        <f t="shared" si="17"/>
        <v>2025</v>
      </c>
      <c r="E518" s="53">
        <f t="shared" si="18"/>
        <v>2167.5</v>
      </c>
    </row>
    <row r="519" spans="1:5" x14ac:dyDescent="0.3">
      <c r="A519" s="53" t="s">
        <v>622</v>
      </c>
      <c r="B519" s="53">
        <v>73.8</v>
      </c>
      <c r="D519" s="53">
        <f t="shared" si="17"/>
        <v>2025</v>
      </c>
      <c r="E519" s="53">
        <f t="shared" si="18"/>
        <v>2167.5</v>
      </c>
    </row>
    <row r="520" spans="1:5" x14ac:dyDescent="0.3">
      <c r="A520" s="53" t="s">
        <v>623</v>
      </c>
      <c r="B520" s="53">
        <v>550.1</v>
      </c>
      <c r="D520" s="53">
        <f t="shared" si="17"/>
        <v>2025</v>
      </c>
      <c r="E520" s="53">
        <f t="shared" si="18"/>
        <v>2167.5</v>
      </c>
    </row>
    <row r="521" spans="1:5" x14ac:dyDescent="0.3">
      <c r="A521" s="53" t="s">
        <v>624</v>
      </c>
      <c r="B521" s="53">
        <v>235.6</v>
      </c>
      <c r="D521" s="53">
        <f t="shared" si="17"/>
        <v>2025</v>
      </c>
      <c r="E521" s="53">
        <f t="shared" si="18"/>
        <v>2167.5</v>
      </c>
    </row>
    <row r="522" spans="1:5" x14ac:dyDescent="0.3">
      <c r="A522" s="53" t="s">
        <v>625</v>
      </c>
      <c r="B522" s="53">
        <v>218.4</v>
      </c>
      <c r="D522" s="53">
        <f t="shared" si="17"/>
        <v>2025</v>
      </c>
      <c r="E522" s="53">
        <f t="shared" si="18"/>
        <v>2167.5</v>
      </c>
    </row>
    <row r="523" spans="1:5" x14ac:dyDescent="0.3">
      <c r="A523" s="53" t="s">
        <v>626</v>
      </c>
      <c r="B523" s="53">
        <v>148.4</v>
      </c>
      <c r="D523" s="53">
        <f t="shared" si="17"/>
        <v>2025</v>
      </c>
      <c r="E523" s="53">
        <f t="shared" si="18"/>
        <v>2167.5</v>
      </c>
    </row>
    <row r="524" spans="1:5" x14ac:dyDescent="0.3">
      <c r="A524" s="53" t="s">
        <v>627</v>
      </c>
      <c r="B524" s="53">
        <v>130.19999999999999</v>
      </c>
      <c r="D524" s="53">
        <f t="shared" si="17"/>
        <v>2025</v>
      </c>
      <c r="E524" s="53">
        <f t="shared" si="18"/>
        <v>2167.5</v>
      </c>
    </row>
    <row r="525" spans="1:5" x14ac:dyDescent="0.3">
      <c r="A525" s="53" t="s">
        <v>628</v>
      </c>
      <c r="B525" s="53">
        <v>96.6</v>
      </c>
      <c r="D525" s="53">
        <f t="shared" si="17"/>
        <v>2025</v>
      </c>
      <c r="E525" s="53">
        <f t="shared" si="18"/>
        <v>2167.5</v>
      </c>
    </row>
    <row r="526" spans="1:5" x14ac:dyDescent="0.3">
      <c r="A526" s="53" t="s">
        <v>629</v>
      </c>
      <c r="B526" s="53">
        <v>234.2</v>
      </c>
      <c r="D526" s="53">
        <f t="shared" si="17"/>
        <v>2025</v>
      </c>
      <c r="E526" s="53">
        <f t="shared" si="18"/>
        <v>2167.5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7"/>
  <sheetViews>
    <sheetView showGridLines="0" zoomScale="70" zoomScaleNormal="70" workbookViewId="0">
      <selection activeCell="F13" sqref="F13"/>
    </sheetView>
  </sheetViews>
  <sheetFormatPr defaultRowHeight="14.4" x14ac:dyDescent="0.3"/>
  <cols>
    <col min="3" max="3" width="14.109375" customWidth="1"/>
    <col min="4" max="6" width="30.5546875" customWidth="1"/>
    <col min="7" max="7" width="27.88671875" customWidth="1"/>
    <col min="8" max="8" width="19.6640625" customWidth="1"/>
    <col min="9" max="9" width="20.5546875" customWidth="1"/>
    <col min="10" max="10" width="19.88671875" customWidth="1"/>
    <col min="12" max="12" width="27.5546875" bestFit="1" customWidth="1"/>
    <col min="13" max="13" width="12" customWidth="1"/>
    <col min="14" max="14" width="51.109375" bestFit="1" customWidth="1"/>
  </cols>
  <sheetData>
    <row r="2" spans="2:14" x14ac:dyDescent="0.3">
      <c r="B2" s="27" t="s">
        <v>0</v>
      </c>
      <c r="C2" s="27" t="s">
        <v>630</v>
      </c>
      <c r="D2" s="27" t="s">
        <v>631</v>
      </c>
      <c r="E2" s="29" t="s">
        <v>632</v>
      </c>
      <c r="F2" s="29" t="s">
        <v>633</v>
      </c>
      <c r="G2" s="27" t="s">
        <v>634</v>
      </c>
      <c r="H2" s="27" t="s">
        <v>31</v>
      </c>
      <c r="I2" s="27" t="s">
        <v>635</v>
      </c>
      <c r="J2" s="27" t="s">
        <v>636</v>
      </c>
      <c r="L2" s="59" t="s">
        <v>5</v>
      </c>
      <c r="M2" s="39"/>
      <c r="N2" s="39"/>
    </row>
    <row r="3" spans="2:14" x14ac:dyDescent="0.3">
      <c r="B3" s="4">
        <v>2026</v>
      </c>
      <c r="C3" s="79">
        <f>IF('Trade-off Analysis'!$C$2='Trade-off Analysis'!$I$3,Inputs_Population!D29,IF('Trade-off Analysis'!$C$2='Trade-off Analysis'!$I$4,Inputs_Population!E29,Inputs_Population!F29))</f>
        <v>6495881.3967119586</v>
      </c>
      <c r="D3" s="80">
        <f>Inputs_Tariff!H4</f>
        <v>150.7212121212122</v>
      </c>
      <c r="E3" s="28">
        <f>C3*D3*365/1000</f>
        <v>357359498.03644162</v>
      </c>
      <c r="F3" s="28">
        <f>E3/45*(55+(70-55)*(B3-2025)/35)</f>
        <v>440176143.61314076</v>
      </c>
      <c r="G3" s="81">
        <f>E3+F3</f>
        <v>797535641.64958239</v>
      </c>
      <c r="H3" s="81">
        <f ca="1">Inputs_Supply!G4</f>
        <v>1029145350.5033813</v>
      </c>
      <c r="I3" s="81">
        <f t="shared" ref="I3:I37" ca="1" si="0">H3-G3</f>
        <v>231609708.85379887</v>
      </c>
      <c r="J3" s="82">
        <f t="shared" ref="J3:J37" ca="1" si="1">(H3/G3)-1</f>
        <v>0.29040671884550395</v>
      </c>
      <c r="L3" s="39" t="s">
        <v>630</v>
      </c>
      <c r="M3" s="39" t="s">
        <v>637</v>
      </c>
      <c r="N3" s="63" t="s">
        <v>638</v>
      </c>
    </row>
    <row r="4" spans="2:14" x14ac:dyDescent="0.3">
      <c r="B4" s="4">
        <v>2027</v>
      </c>
      <c r="C4" s="79">
        <f>IF('Trade-off Analysis'!$C$2='Trade-off Analysis'!$I$3,Inputs_Population!D30,IF('Trade-off Analysis'!$C$2='Trade-off Analysis'!$I$4,Inputs_Population!E30,Inputs_Population!F30))</f>
        <v>6639400.4794941563</v>
      </c>
      <c r="D4" s="80">
        <f>Inputs_Tariff!H5</f>
        <v>151.00606060606066</v>
      </c>
      <c r="E4" s="28">
        <f t="shared" ref="E4:E37" si="2">C4*D4*365/1000</f>
        <v>365945244.58595705</v>
      </c>
      <c r="F4" s="28">
        <f t="shared" ref="F4:F37" si="3">E4/45*(55+(70-55)*(B4-2025)/35)</f>
        <v>454236795.66066414</v>
      </c>
      <c r="G4" s="81">
        <f t="shared" ref="G4:G37" si="4">E4+F4</f>
        <v>820182040.24662113</v>
      </c>
      <c r="H4" s="81">
        <f ca="1">Inputs_Supply!G5</f>
        <v>1263477482.5705814</v>
      </c>
      <c r="I4" s="81">
        <f t="shared" ca="1" si="0"/>
        <v>443295442.3239603</v>
      </c>
      <c r="J4" s="82">
        <f t="shared" ca="1" si="1"/>
        <v>0.54048421029880811</v>
      </c>
      <c r="L4" s="60" t="s">
        <v>631</v>
      </c>
      <c r="M4" s="39" t="s">
        <v>639</v>
      </c>
      <c r="N4" s="63" t="s">
        <v>640</v>
      </c>
    </row>
    <row r="5" spans="2:14" x14ac:dyDescent="0.3">
      <c r="B5" s="4">
        <v>2028</v>
      </c>
      <c r="C5" s="79">
        <f>IF('Trade-off Analysis'!$C$2='Trade-off Analysis'!$I$3,Inputs_Population!D31,IF('Trade-off Analysis'!$C$2='Trade-off Analysis'!$I$4,Inputs_Population!E31,Inputs_Population!F31))</f>
        <v>6773063.2772434969</v>
      </c>
      <c r="D5" s="80">
        <f>Inputs_Tariff!H6</f>
        <v>151.29090909090911</v>
      </c>
      <c r="E5" s="28">
        <f t="shared" si="2"/>
        <v>374016558.6987136</v>
      </c>
      <c r="F5" s="28">
        <f t="shared" si="3"/>
        <v>467817536.91204178</v>
      </c>
      <c r="G5" s="81">
        <f t="shared" si="4"/>
        <v>841834095.61075544</v>
      </c>
      <c r="H5" s="81">
        <f ca="1">Inputs_Supply!G6</f>
        <v>1263477482.5705814</v>
      </c>
      <c r="I5" s="81">
        <f t="shared" ca="1" si="0"/>
        <v>421643386.95982599</v>
      </c>
      <c r="J5" s="82">
        <f t="shared" ca="1" si="1"/>
        <v>0.50086280557919349</v>
      </c>
      <c r="L5" s="60" t="s">
        <v>632</v>
      </c>
      <c r="M5" s="39" t="s">
        <v>641</v>
      </c>
      <c r="N5" s="63" t="s">
        <v>642</v>
      </c>
    </row>
    <row r="6" spans="2:14" x14ac:dyDescent="0.3">
      <c r="B6" s="4">
        <v>2029</v>
      </c>
      <c r="C6" s="79">
        <f>IF('Trade-off Analysis'!$C$2='Trade-off Analysis'!$I$3,Inputs_Population!D32,IF('Trade-off Analysis'!$C$2='Trade-off Analysis'!$I$4,Inputs_Population!E32,Inputs_Population!F32))</f>
        <v>6900646.0673827687</v>
      </c>
      <c r="D6" s="80">
        <f>Inputs_Tariff!H7</f>
        <v>151.57575757575768</v>
      </c>
      <c r="E6" s="28">
        <f t="shared" si="2"/>
        <v>381779289.23038644</v>
      </c>
      <c r="F6" s="28">
        <f t="shared" si="3"/>
        <v>481163104.20464581</v>
      </c>
      <c r="G6" s="81">
        <f t="shared" si="4"/>
        <v>862942393.43503225</v>
      </c>
      <c r="H6" s="81">
        <f ca="1">Inputs_Supply!G7</f>
        <v>1263477482.5705814</v>
      </c>
      <c r="I6" s="81">
        <f t="shared" ca="1" si="0"/>
        <v>400535089.13554919</v>
      </c>
      <c r="J6" s="82">
        <f t="shared" ca="1" si="1"/>
        <v>0.46415043713541237</v>
      </c>
      <c r="L6" s="60" t="s">
        <v>633</v>
      </c>
      <c r="M6" s="39" t="s">
        <v>643</v>
      </c>
      <c r="N6" s="63" t="s">
        <v>644</v>
      </c>
    </row>
    <row r="7" spans="2:14" x14ac:dyDescent="0.3">
      <c r="B7" s="4">
        <v>2030</v>
      </c>
      <c r="C7" s="79">
        <f>IF('Trade-off Analysis'!$C$2='Trade-off Analysis'!$I$3,Inputs_Population!D33,IF('Trade-off Analysis'!$C$2='Trade-off Analysis'!$I$4,Inputs_Population!E33,Inputs_Population!F33))</f>
        <v>7023998.5124884509</v>
      </c>
      <c r="D7" s="80">
        <f>Inputs_Tariff!H8</f>
        <v>151.86060606060613</v>
      </c>
      <c r="E7" s="28">
        <f t="shared" si="2"/>
        <v>389334064.94248164</v>
      </c>
      <c r="F7" s="28">
        <f t="shared" si="3"/>
        <v>494392463.41902435</v>
      </c>
      <c r="G7" s="81">
        <f t="shared" si="4"/>
        <v>883726528.36150599</v>
      </c>
      <c r="H7" s="81">
        <f ca="1">Inputs_Supply!G8</f>
        <v>1263477482.5705814</v>
      </c>
      <c r="I7" s="81">
        <f t="shared" ca="1" si="0"/>
        <v>379750954.20907545</v>
      </c>
      <c r="J7" s="82">
        <f t="shared" ca="1" si="1"/>
        <v>0.42971546289683271</v>
      </c>
      <c r="L7" s="60" t="s">
        <v>634</v>
      </c>
      <c r="M7" s="39" t="s">
        <v>645</v>
      </c>
      <c r="N7" s="64" t="s">
        <v>646</v>
      </c>
    </row>
    <row r="8" spans="2:14" x14ac:dyDescent="0.3">
      <c r="B8" s="4">
        <v>2031</v>
      </c>
      <c r="C8" s="79">
        <f>IF('Trade-off Analysis'!$C$2='Trade-off Analysis'!$I$3,Inputs_Population!D34,IF('Trade-off Analysis'!$C$2='Trade-off Analysis'!$I$4,Inputs_Population!E34,Inputs_Population!F34))</f>
        <v>7144190.1806813683</v>
      </c>
      <c r="D8" s="80">
        <f>Inputs_Tariff!H9</f>
        <v>152.14545454545458</v>
      </c>
      <c r="E8" s="28">
        <f t="shared" si="2"/>
        <v>396738962.77561319</v>
      </c>
      <c r="F8" s="28">
        <f t="shared" si="3"/>
        <v>507573974.59864163</v>
      </c>
      <c r="G8" s="81">
        <f t="shared" si="4"/>
        <v>904312937.37425482</v>
      </c>
      <c r="H8" s="81">
        <f ca="1">Inputs_Supply!G9</f>
        <v>1263477482.5705814</v>
      </c>
      <c r="I8" s="81">
        <f t="shared" ca="1" si="0"/>
        <v>359164545.19632661</v>
      </c>
      <c r="J8" s="82">
        <f t="shared" ca="1" si="1"/>
        <v>0.39716842516838224</v>
      </c>
      <c r="L8" s="60" t="s">
        <v>31</v>
      </c>
      <c r="M8" s="39" t="s">
        <v>647</v>
      </c>
      <c r="N8" s="61" t="s">
        <v>648</v>
      </c>
    </row>
    <row r="9" spans="2:14" x14ac:dyDescent="0.3">
      <c r="B9" s="4">
        <v>2032</v>
      </c>
      <c r="C9" s="79">
        <f>IF('Trade-off Analysis'!$C$2='Trade-off Analysis'!$I$3,Inputs_Population!D35,IF('Trade-off Analysis'!$C$2='Trade-off Analysis'!$I$4,Inputs_Population!E35,Inputs_Population!F35))</f>
        <v>7261905.50972059</v>
      </c>
      <c r="D9" s="80">
        <f>Inputs_Tariff!H10</f>
        <v>152.43030303030315</v>
      </c>
      <c r="E9" s="28">
        <f t="shared" si="2"/>
        <v>404031076.95981026</v>
      </c>
      <c r="F9" s="28">
        <f t="shared" si="3"/>
        <v>520751165.85931104</v>
      </c>
      <c r="G9" s="81">
        <f t="shared" si="4"/>
        <v>924782242.81912136</v>
      </c>
      <c r="H9" s="81">
        <f ca="1">Inputs_Supply!G10</f>
        <v>1263477482.5705814</v>
      </c>
      <c r="I9" s="81">
        <f t="shared" ca="1" si="0"/>
        <v>338695239.75146008</v>
      </c>
      <c r="J9" s="82">
        <f t="shared" ca="1" si="1"/>
        <v>0.36624323442778906</v>
      </c>
      <c r="L9" s="60" t="s">
        <v>635</v>
      </c>
      <c r="M9" s="39" t="s">
        <v>649</v>
      </c>
      <c r="N9" s="62" t="s">
        <v>650</v>
      </c>
    </row>
    <row r="10" spans="2:14" x14ac:dyDescent="0.3">
      <c r="B10" s="4">
        <v>2033</v>
      </c>
      <c r="C10" s="79">
        <f>IF('Trade-off Analysis'!$C$2='Trade-off Analysis'!$I$3,Inputs_Population!D36,IF('Trade-off Analysis'!$C$2='Trade-off Analysis'!$I$4,Inputs_Population!E36,Inputs_Population!F36))</f>
        <v>7377613.7529528281</v>
      </c>
      <c r="D10" s="80">
        <f>Inputs_Tariff!H11</f>
        <v>152.7151515151516</v>
      </c>
      <c r="E10" s="28">
        <f t="shared" si="2"/>
        <v>411235791.76739693</v>
      </c>
      <c r="F10" s="28">
        <f t="shared" si="3"/>
        <v>533953774.07258838</v>
      </c>
      <c r="G10" s="81">
        <f t="shared" si="4"/>
        <v>945189565.83998537</v>
      </c>
      <c r="H10" s="81">
        <f ca="1">Inputs_Supply!G11</f>
        <v>1263477482.5705814</v>
      </c>
      <c r="I10" s="81">
        <f ca="1">H10-G10</f>
        <v>318287916.73059607</v>
      </c>
      <c r="J10" s="82">
        <f t="shared" ca="1" si="1"/>
        <v>0.33674505965132528</v>
      </c>
      <c r="L10" s="60" t="s">
        <v>636</v>
      </c>
      <c r="M10" s="39" t="s">
        <v>651</v>
      </c>
      <c r="N10" s="63" t="s">
        <v>652</v>
      </c>
    </row>
    <row r="11" spans="2:14" x14ac:dyDescent="0.3">
      <c r="B11" s="4">
        <v>2034</v>
      </c>
      <c r="C11" s="79">
        <f>IF('Trade-off Analysis'!$C$2='Trade-off Analysis'!$I$3,Inputs_Population!D37,IF('Trade-off Analysis'!$C$2='Trade-off Analysis'!$I$4,Inputs_Population!E37,Inputs_Population!F37))</f>
        <v>7491653.186059759</v>
      </c>
      <c r="D11" s="80">
        <f>Inputs_Tariff!H12</f>
        <v>153.00000000000006</v>
      </c>
      <c r="E11" s="28">
        <f t="shared" si="2"/>
        <v>418371372.17550737</v>
      </c>
      <c r="F11" s="28">
        <f t="shared" si="3"/>
        <v>547203191.54383826</v>
      </c>
      <c r="G11" s="81">
        <f t="shared" si="4"/>
        <v>965574563.71934557</v>
      </c>
      <c r="H11" s="81">
        <f ca="1">Inputs_Supply!G12</f>
        <v>1263477482.5705814</v>
      </c>
      <c r="I11" s="81">
        <f t="shared" ca="1" si="0"/>
        <v>297902918.85123587</v>
      </c>
      <c r="J11" s="82">
        <f t="shared" ca="1" si="1"/>
        <v>0.30852399187456681</v>
      </c>
    </row>
    <row r="12" spans="2:14" x14ac:dyDescent="0.3">
      <c r="B12" s="4">
        <v>2035</v>
      </c>
      <c r="C12" s="79">
        <f>IF('Trade-off Analysis'!$C$2='Trade-off Analysis'!$I$3,Inputs_Population!D38,IF('Trade-off Analysis'!$C$2='Trade-off Analysis'!$I$4,Inputs_Population!E38,Inputs_Population!F38))</f>
        <v>7604277.1683553578</v>
      </c>
      <c r="D12" s="80">
        <f>Inputs_Tariff!H13</f>
        <v>153.28484848484851</v>
      </c>
      <c r="E12" s="28">
        <f t="shared" si="2"/>
        <v>425451472.85967249</v>
      </c>
      <c r="F12" s="28">
        <f t="shared" si="3"/>
        <v>560515432.49766374</v>
      </c>
      <c r="G12" s="81">
        <f t="shared" si="4"/>
        <v>985966905.35733628</v>
      </c>
      <c r="H12" s="81">
        <f ca="1">Inputs_Supply!G13</f>
        <v>1557497987.9001813</v>
      </c>
      <c r="I12" s="81">
        <f t="shared" ca="1" si="0"/>
        <v>571531082.54284501</v>
      </c>
      <c r="J12" s="82">
        <f t="shared" ca="1" si="1"/>
        <v>0.5796655845519576</v>
      </c>
    </row>
    <row r="13" spans="2:14" x14ac:dyDescent="0.3">
      <c r="B13" s="4">
        <v>2036</v>
      </c>
      <c r="C13" s="79">
        <f>IF('Trade-off Analysis'!$C$2='Trade-off Analysis'!$I$3,Inputs_Population!D39,IF('Trade-off Analysis'!$C$2='Trade-off Analysis'!$I$4,Inputs_Population!E39,Inputs_Population!F39))</f>
        <v>7715681.2645245921</v>
      </c>
      <c r="D13" s="80">
        <f>Inputs_Tariff!H14</f>
        <v>153.56969696969708</v>
      </c>
      <c r="E13" s="28">
        <f t="shared" si="2"/>
        <v>432486614.30335087</v>
      </c>
      <c r="F13" s="28">
        <f t="shared" si="3"/>
        <v>573902872.31365287</v>
      </c>
      <c r="G13" s="81">
        <f t="shared" si="4"/>
        <v>1006389486.6170037</v>
      </c>
      <c r="H13" s="81">
        <f ca="1">Inputs_Supply!G14</f>
        <v>1557497987.9001813</v>
      </c>
      <c r="I13" s="81">
        <f t="shared" ca="1" si="0"/>
        <v>551108501.28317761</v>
      </c>
      <c r="J13" s="82">
        <f t="shared" ca="1" si="1"/>
        <v>0.54760955734517736</v>
      </c>
    </row>
    <row r="14" spans="2:14" x14ac:dyDescent="0.3">
      <c r="B14" s="4">
        <v>2037</v>
      </c>
      <c r="C14" s="79">
        <f>IF('Trade-off Analysis'!$C$2='Trade-off Analysis'!$I$3,Inputs_Population!D40,IF('Trade-off Analysis'!$C$2='Trade-off Analysis'!$I$4,Inputs_Population!E40,Inputs_Population!F40))</f>
        <v>7826020.1545659043</v>
      </c>
      <c r="D14" s="80">
        <f>Inputs_Tariff!H15</f>
        <v>153.85454545454553</v>
      </c>
      <c r="E14" s="28">
        <f t="shared" si="2"/>
        <v>439485102.36357999</v>
      </c>
      <c r="F14" s="28">
        <f t="shared" si="3"/>
        <v>587375327.28592753</v>
      </c>
      <c r="G14" s="81">
        <f t="shared" si="4"/>
        <v>1026860429.6495075</v>
      </c>
      <c r="H14" s="81">
        <f ca="1">Inputs_Supply!G15</f>
        <v>1557497987.9001813</v>
      </c>
      <c r="I14" s="81">
        <f t="shared" ca="1" si="0"/>
        <v>530637558.25067377</v>
      </c>
      <c r="J14" s="82">
        <f t="shared" ca="1" si="1"/>
        <v>0.51675723684453723</v>
      </c>
    </row>
    <row r="15" spans="2:14" x14ac:dyDescent="0.3">
      <c r="B15" s="4">
        <v>2038</v>
      </c>
      <c r="C15" s="79">
        <f>IF('Trade-off Analysis'!$C$2='Trade-off Analysis'!$I$3,Inputs_Population!D41,IF('Trade-off Analysis'!$C$2='Trade-off Analysis'!$I$4,Inputs_Population!E41,Inputs_Population!F41))</f>
        <v>7935418.6710277498</v>
      </c>
      <c r="D15" s="80">
        <f>Inputs_Tariff!H16</f>
        <v>154.13939393939398</v>
      </c>
      <c r="E15" s="28">
        <f t="shared" si="2"/>
        <v>446453627.98176253</v>
      </c>
      <c r="F15" s="28">
        <f t="shared" si="3"/>
        <v>600940756.39449942</v>
      </c>
      <c r="G15" s="81">
        <f t="shared" si="4"/>
        <v>1047394384.3762619</v>
      </c>
      <c r="H15" s="81">
        <f ca="1">Inputs_Supply!G16</f>
        <v>1557497987.9001813</v>
      </c>
      <c r="I15" s="81">
        <f t="shared" ca="1" si="0"/>
        <v>510103603.52391934</v>
      </c>
      <c r="J15" s="82">
        <f t="shared" ca="1" si="1"/>
        <v>0.48702151847767761</v>
      </c>
    </row>
    <row r="16" spans="2:14" x14ac:dyDescent="0.3">
      <c r="B16" s="4">
        <v>2039</v>
      </c>
      <c r="C16" s="79">
        <f>IF('Trade-off Analysis'!$C$2='Trade-off Analysis'!$I$3,Inputs_Population!D42,IF('Trade-off Analysis'!$C$2='Trade-off Analysis'!$I$4,Inputs_Population!E42,Inputs_Population!F42))</f>
        <v>8043979.2788219815</v>
      </c>
      <c r="D16" s="80">
        <f>Inputs_Tariff!H17</f>
        <v>154.42424242424244</v>
      </c>
      <c r="E16" s="28">
        <f t="shared" si="2"/>
        <v>453397673.26606184</v>
      </c>
      <c r="F16" s="28">
        <f t="shared" si="3"/>
        <v>614605734.87177265</v>
      </c>
      <c r="G16" s="81">
        <f t="shared" si="4"/>
        <v>1068003408.1378345</v>
      </c>
      <c r="H16" s="81">
        <f ca="1">Inputs_Supply!G17</f>
        <v>1557497987.9001813</v>
      </c>
      <c r="I16" s="81">
        <f t="shared" ca="1" si="0"/>
        <v>489494579.76234674</v>
      </c>
      <c r="J16" s="82">
        <f t="shared" ca="1" si="1"/>
        <v>0.45832679561933887</v>
      </c>
    </row>
    <row r="17" spans="2:10" x14ac:dyDescent="0.3">
      <c r="B17" s="4">
        <v>2040</v>
      </c>
      <c r="C17" s="79">
        <f>IF('Trade-off Analysis'!$C$2='Trade-off Analysis'!$I$3,Inputs_Population!D43,IF('Trade-off Analysis'!$C$2='Trade-off Analysis'!$I$4,Inputs_Population!E43,Inputs_Population!F43))</f>
        <v>8151787.3058314156</v>
      </c>
      <c r="D17" s="80">
        <f>Inputs_Tariff!H18</f>
        <v>154.709090909091</v>
      </c>
      <c r="E17" s="28">
        <f t="shared" si="2"/>
        <v>460321795.22984797</v>
      </c>
      <c r="F17" s="28">
        <f t="shared" si="3"/>
        <v>628375783.96455431</v>
      </c>
      <c r="G17" s="81">
        <f t="shared" si="4"/>
        <v>1088697579.1944022</v>
      </c>
      <c r="H17" s="81">
        <f ca="1">Inputs_Supply!G18</f>
        <v>1557497987.9001813</v>
      </c>
      <c r="I17" s="81">
        <f t="shared" ca="1" si="0"/>
        <v>468800408.70577908</v>
      </c>
      <c r="J17" s="82">
        <f t="shared" ca="1" si="1"/>
        <v>0.43060664197735687</v>
      </c>
    </row>
    <row r="18" spans="2:10" x14ac:dyDescent="0.3">
      <c r="B18" s="4">
        <v>2041</v>
      </c>
      <c r="C18" s="79">
        <f>IF('Trade-off Analysis'!$C$2='Trade-off Analysis'!$I$3,Inputs_Population!D44,IF('Trade-off Analysis'!$C$2='Trade-off Analysis'!$I$4,Inputs_Population!E44,Inputs_Population!F44))</f>
        <v>8258914.6993955839</v>
      </c>
      <c r="D18" s="80">
        <f>Inputs_Tariff!H19</f>
        <v>154.99393939393946</v>
      </c>
      <c r="E18" s="28">
        <f t="shared" si="2"/>
        <v>467229829.3979097</v>
      </c>
      <c r="F18" s="28">
        <f t="shared" si="3"/>
        <v>642255606.7596662</v>
      </c>
      <c r="G18" s="81">
        <f t="shared" si="4"/>
        <v>1109485436.1575758</v>
      </c>
      <c r="H18" s="81">
        <f ca="1">Inputs_Supply!G19</f>
        <v>1557497987.9001813</v>
      </c>
      <c r="I18" s="81">
        <f t="shared" ca="1" si="0"/>
        <v>448012551.74260545</v>
      </c>
      <c r="J18" s="82">
        <f t="shared" ca="1" si="1"/>
        <v>0.40380210243604853</v>
      </c>
    </row>
    <row r="19" spans="2:10" x14ac:dyDescent="0.3">
      <c r="B19" s="4">
        <v>2042</v>
      </c>
      <c r="C19" s="79">
        <f>IF('Trade-off Analysis'!$C$2='Trade-off Analysis'!$I$3,Inputs_Population!D45,IF('Trade-off Analysis'!$C$2='Trade-off Analysis'!$I$4,Inputs_Population!E45,Inputs_Population!F45))</f>
        <v>8365422.7866151342</v>
      </c>
      <c r="D19" s="80">
        <f>Inputs_Tariff!H20</f>
        <v>155.27878787878791</v>
      </c>
      <c r="E19" s="28">
        <f t="shared" si="2"/>
        <v>474125039.29570442</v>
      </c>
      <c r="F19" s="28">
        <f t="shared" si="3"/>
        <v>656249260.73945117</v>
      </c>
      <c r="G19" s="81">
        <f t="shared" si="4"/>
        <v>1130374300.0351555</v>
      </c>
      <c r="H19" s="81">
        <f ca="1">Inputs_Supply!G20</f>
        <v>1557497987.9001813</v>
      </c>
      <c r="I19" s="81">
        <f t="shared" ca="1" si="0"/>
        <v>427123687.86502576</v>
      </c>
      <c r="J19" s="82">
        <f t="shared" ca="1" si="1"/>
        <v>0.37786040239214724</v>
      </c>
    </row>
    <row r="20" spans="2:10" x14ac:dyDescent="0.3">
      <c r="B20" s="4">
        <v>2043</v>
      </c>
      <c r="C20" s="79">
        <f>IF('Trade-off Analysis'!$C$2='Trade-off Analysis'!$I$3,Inputs_Population!D46,IF('Trade-off Analysis'!$C$2='Trade-off Analysis'!$I$4,Inputs_Population!E46,Inputs_Population!F46))</f>
        <v>8471364.3434309233</v>
      </c>
      <c r="D20" s="80">
        <f>Inputs_Tariff!H21</f>
        <v>155.56363636363648</v>
      </c>
      <c r="E20" s="28">
        <f t="shared" si="2"/>
        <v>481010228.41225791</v>
      </c>
      <c r="F20" s="28">
        <f t="shared" si="3"/>
        <v>670360286.5808928</v>
      </c>
      <c r="G20" s="81">
        <f t="shared" si="4"/>
        <v>1151370514.9931507</v>
      </c>
      <c r="H20" s="81">
        <f ca="1">Inputs_Supply!G21</f>
        <v>1557497987.9001813</v>
      </c>
      <c r="I20" s="81">
        <f t="shared" ca="1" si="0"/>
        <v>406127472.90703058</v>
      </c>
      <c r="J20" s="82">
        <f t="shared" ca="1" si="1"/>
        <v>0.35273395281400499</v>
      </c>
    </row>
    <row r="21" spans="2:10" x14ac:dyDescent="0.3">
      <c r="B21" s="4">
        <v>2044</v>
      </c>
      <c r="C21" s="79">
        <f>IF('Trade-off Analysis'!$C$2='Trade-off Analysis'!$I$3,Inputs_Population!D47,IF('Trade-off Analysis'!$C$2='Trade-off Analysis'!$I$4,Inputs_Population!E47,Inputs_Population!F47))</f>
        <v>8576785.1729008183</v>
      </c>
      <c r="D21" s="80">
        <f>Inputs_Tariff!H22</f>
        <v>155.84848484848493</v>
      </c>
      <c r="E21" s="28">
        <f t="shared" si="2"/>
        <v>487887825.53465331</v>
      </c>
      <c r="F21" s="28">
        <f t="shared" si="3"/>
        <v>684591805.98830712</v>
      </c>
      <c r="G21" s="81">
        <f t="shared" si="4"/>
        <v>1172479631.5229604</v>
      </c>
      <c r="H21" s="81">
        <f ca="1">Inputs_Supply!G22</f>
        <v>1557497987.9001813</v>
      </c>
      <c r="I21" s="81">
        <f t="shared" ca="1" si="0"/>
        <v>385018356.37722087</v>
      </c>
      <c r="J21" s="82">
        <f t="shared" ca="1" si="1"/>
        <v>0.32837956926988299</v>
      </c>
    </row>
    <row r="22" spans="2:10" x14ac:dyDescent="0.3">
      <c r="B22" s="4">
        <v>2045</v>
      </c>
      <c r="C22" s="79">
        <f>IF('Trade-off Analysis'!$C$2='Trade-off Analysis'!$I$3,Inputs_Population!D48,IF('Trade-off Analysis'!$C$2='Trade-off Analysis'!$I$4,Inputs_Population!E48,Inputs_Population!F48))</f>
        <v>8681725.3278457914</v>
      </c>
      <c r="D22" s="80">
        <f>Inputs_Tariff!H23</f>
        <v>156.13333333333338</v>
      </c>
      <c r="E22" s="28">
        <f t="shared" si="2"/>
        <v>494759950.8001613</v>
      </c>
      <c r="F22" s="28">
        <f t="shared" si="3"/>
        <v>698946597.16213262</v>
      </c>
      <c r="G22" s="81">
        <f t="shared" si="4"/>
        <v>1193706547.9622939</v>
      </c>
      <c r="H22" s="81">
        <f ca="1">Inputs_Supply!G23</f>
        <v>1557497987.9001813</v>
      </c>
      <c r="I22" s="81">
        <f t="shared" ca="1" si="0"/>
        <v>363791439.93788743</v>
      </c>
      <c r="J22" s="82">
        <f t="shared" ca="1" si="1"/>
        <v>0.30475784903659475</v>
      </c>
    </row>
    <row r="23" spans="2:10" x14ac:dyDescent="0.3">
      <c r="B23" s="4">
        <v>2046</v>
      </c>
      <c r="C23" s="79">
        <f>IF('Trade-off Analysis'!$C$2='Trade-off Analysis'!$I$3,Inputs_Population!D49,IF('Trade-off Analysis'!$C$2='Trade-off Analysis'!$I$4,Inputs_Population!E49,Inputs_Population!F49))</f>
        <v>8786220.0711334515</v>
      </c>
      <c r="D23" s="80">
        <f>Inputs_Tariff!H24</f>
        <v>156.41818181818184</v>
      </c>
      <c r="E23" s="28">
        <f t="shared" si="2"/>
        <v>501628467.53210539</v>
      </c>
      <c r="F23" s="28">
        <f t="shared" si="3"/>
        <v>713427153.82343876</v>
      </c>
      <c r="G23" s="81">
        <f t="shared" si="4"/>
        <v>1215055621.3555441</v>
      </c>
      <c r="H23" s="81">
        <f ca="1">Inputs_Supply!G24</f>
        <v>1557497987.9001813</v>
      </c>
      <c r="I23" s="81">
        <f t="shared" ca="1" si="0"/>
        <v>342442366.5446372</v>
      </c>
      <c r="J23" s="82">
        <f t="shared" ca="1" si="1"/>
        <v>0.28183266718489852</v>
      </c>
    </row>
    <row r="24" spans="2:10" x14ac:dyDescent="0.3">
      <c r="B24" s="4">
        <v>2047</v>
      </c>
      <c r="C24" s="79">
        <f>IF('Trade-off Analysis'!$C$2='Trade-off Analysis'!$I$3,Inputs_Population!D50,IF('Trade-off Analysis'!$C$2='Trade-off Analysis'!$I$4,Inputs_Population!E50,Inputs_Population!F50))</f>
        <v>8890300.6392723043</v>
      </c>
      <c r="D24" s="80">
        <f>Inputs_Tariff!H25</f>
        <v>156.7030303030304</v>
      </c>
      <c r="E24" s="28">
        <f t="shared" si="2"/>
        <v>508495023.4248125</v>
      </c>
      <c r="F24" s="28">
        <f t="shared" si="3"/>
        <v>728035731.95108068</v>
      </c>
      <c r="G24" s="81">
        <f t="shared" si="4"/>
        <v>1236530755.3758931</v>
      </c>
      <c r="H24" s="81">
        <f ca="1">Inputs_Supply!G25</f>
        <v>1557497987.9001813</v>
      </c>
      <c r="I24" s="81">
        <f t="shared" ca="1" si="0"/>
        <v>320967232.52428818</v>
      </c>
      <c r="J24" s="82">
        <f t="shared" ca="1" si="1"/>
        <v>0.25957076371037568</v>
      </c>
    </row>
    <row r="25" spans="2:10" x14ac:dyDescent="0.3">
      <c r="B25" s="4">
        <v>2048</v>
      </c>
      <c r="C25" s="79">
        <f>IF('Trade-off Analysis'!$C$2='Trade-off Analysis'!$I$3,Inputs_Population!D51,IF('Trade-off Analysis'!$C$2='Trade-off Analysis'!$I$4,Inputs_Population!E51,Inputs_Population!F51))</f>
        <v>8993994.8564067241</v>
      </c>
      <c r="D25" s="80">
        <f>Inputs_Tariff!H26</f>
        <v>156.98787878787886</v>
      </c>
      <c r="E25" s="28">
        <f t="shared" si="2"/>
        <v>515361083.63278043</v>
      </c>
      <c r="F25" s="28">
        <f t="shared" si="3"/>
        <v>742774387.20407093</v>
      </c>
      <c r="G25" s="81">
        <f t="shared" si="4"/>
        <v>1258135470.8368514</v>
      </c>
      <c r="H25" s="81">
        <f ca="1">Inputs_Supply!G26</f>
        <v>1557497987.9001813</v>
      </c>
      <c r="I25" s="81">
        <f t="shared" ca="1" si="0"/>
        <v>299362517.06332994</v>
      </c>
      <c r="J25" s="82">
        <f t="shared" ca="1" si="1"/>
        <v>0.23794140138518505</v>
      </c>
    </row>
    <row r="26" spans="2:10" x14ac:dyDescent="0.3">
      <c r="B26" s="4">
        <v>2049</v>
      </c>
      <c r="C26" s="79">
        <f>IF('Trade-off Analysis'!$C$2='Trade-off Analysis'!$I$3,Inputs_Population!D52,IF('Trade-off Analysis'!$C$2='Trade-off Analysis'!$I$4,Inputs_Population!E52,Inputs_Population!F52))</f>
        <v>9097327.6330343019</v>
      </c>
      <c r="D26" s="80">
        <f>Inputs_Tariff!H27</f>
        <v>157.27272727272731</v>
      </c>
      <c r="E26" s="28">
        <f t="shared" si="2"/>
        <v>522227957.62541014</v>
      </c>
      <c r="F26" s="28">
        <f t="shared" si="3"/>
        <v>757645005.18988073</v>
      </c>
      <c r="G26" s="81">
        <f t="shared" si="4"/>
        <v>1279872962.8152909</v>
      </c>
      <c r="H26" s="81">
        <f ca="1">Inputs_Supply!G27</f>
        <v>1557497987.9001813</v>
      </c>
      <c r="I26" s="81">
        <f t="shared" ca="1" si="0"/>
        <v>277625025.08489037</v>
      </c>
      <c r="J26" s="82">
        <f t="shared" ca="1" si="1"/>
        <v>0.21691607929134515</v>
      </c>
    </row>
    <row r="27" spans="2:10" x14ac:dyDescent="0.3">
      <c r="B27" s="4">
        <v>2050</v>
      </c>
      <c r="C27" s="79">
        <f>IF('Trade-off Analysis'!$C$2='Trade-off Analysis'!$I$3,Inputs_Population!D53,IF('Trade-off Analysis'!$C$2='Trade-off Analysis'!$I$4,Inputs_Population!E53,Inputs_Population!F53))</f>
        <v>9200321.3748339731</v>
      </c>
      <c r="D27" s="80">
        <f>Inputs_Tariff!H28</f>
        <v>157.55757575757588</v>
      </c>
      <c r="E27" s="28">
        <f t="shared" si="2"/>
        <v>529096821.18344861</v>
      </c>
      <c r="F27" s="28">
        <f t="shared" si="3"/>
        <v>772649326.17265499</v>
      </c>
      <c r="G27" s="81">
        <f t="shared" si="4"/>
        <v>1301746147.3561037</v>
      </c>
      <c r="H27" s="81">
        <f ca="1">Inputs_Supply!G28</f>
        <v>1557497987.9001813</v>
      </c>
      <c r="I27" s="81">
        <f t="shared" ca="1" si="0"/>
        <v>255751840.54407763</v>
      </c>
      <c r="J27" s="82">
        <f t="shared" ca="1" si="1"/>
        <v>0.19646829073665351</v>
      </c>
    </row>
    <row r="28" spans="2:10" x14ac:dyDescent="0.3">
      <c r="B28" s="4">
        <v>2051</v>
      </c>
      <c r="C28" s="79">
        <f>IF('Trade-off Analysis'!$C$2='Trade-off Analysis'!$I$3,Inputs_Population!D54,IF('Trade-off Analysis'!$C$2='Trade-off Analysis'!$I$4,Inputs_Population!E54,Inputs_Population!F54))</f>
        <v>9302996.3206398673</v>
      </c>
      <c r="D28" s="80">
        <f>Inputs_Tariff!H29</f>
        <v>157.84242424242433</v>
      </c>
      <c r="E28" s="28">
        <f t="shared" si="2"/>
        <v>535968734.56837499</v>
      </c>
      <c r="F28" s="28">
        <f t="shared" si="3"/>
        <v>787788965.41319883</v>
      </c>
      <c r="G28" s="81">
        <f t="shared" si="4"/>
        <v>1323757699.9815738</v>
      </c>
      <c r="H28" s="81">
        <f ca="1">Inputs_Supply!G29</f>
        <v>1557497987.9001813</v>
      </c>
      <c r="I28" s="81">
        <f t="shared" ca="1" si="0"/>
        <v>233740287.91860747</v>
      </c>
      <c r="J28" s="82">
        <f t="shared" ca="1" si="1"/>
        <v>0.17657331694604017</v>
      </c>
    </row>
    <row r="29" spans="2:10" x14ac:dyDescent="0.3">
      <c r="B29" s="4">
        <v>2052</v>
      </c>
      <c r="C29" s="79">
        <f>IF('Trade-off Analysis'!$C$2='Trade-off Analysis'!$I$3,Inputs_Population!D55,IF('Trade-off Analysis'!$C$2='Trade-off Analysis'!$I$4,Inputs_Population!E55,Inputs_Population!F55))</f>
        <v>9405370.8240089286</v>
      </c>
      <c r="D29" s="80">
        <f>Inputs_Tariff!H30</f>
        <v>158.12727272727278</v>
      </c>
      <c r="E29" s="28">
        <f t="shared" si="2"/>
        <v>542844657.64705586</v>
      </c>
      <c r="F29" s="28">
        <f t="shared" si="3"/>
        <v>803065430.0429461</v>
      </c>
      <c r="G29" s="81">
        <f t="shared" si="4"/>
        <v>1345910087.690002</v>
      </c>
      <c r="H29" s="81">
        <f ca="1">Inputs_Supply!G30</f>
        <v>1557497987.9001813</v>
      </c>
      <c r="I29" s="81">
        <f t="shared" ca="1" si="0"/>
        <v>211587900.21017933</v>
      </c>
      <c r="J29" s="82">
        <f t="shared" ca="1" si="1"/>
        <v>0.15720804988788628</v>
      </c>
    </row>
    <row r="30" spans="2:10" x14ac:dyDescent="0.3">
      <c r="B30" s="4">
        <v>2053</v>
      </c>
      <c r="C30" s="79">
        <f>IF('Trade-off Analysis'!$C$2='Trade-off Analysis'!$I$3,Inputs_Population!D56,IF('Trade-off Analysis'!$C$2='Trade-off Analysis'!$I$4,Inputs_Population!E56,Inputs_Population!F56))</f>
        <v>9507461.589473322</v>
      </c>
      <c r="D30" s="80">
        <f>Inputs_Tariff!H31</f>
        <v>158.41212121212124</v>
      </c>
      <c r="E30" s="28">
        <f t="shared" si="2"/>
        <v>549725462.57190073</v>
      </c>
      <c r="F30" s="28">
        <f t="shared" si="3"/>
        <v>818480133.16260779</v>
      </c>
      <c r="G30" s="81">
        <f t="shared" si="4"/>
        <v>1368205595.7345085</v>
      </c>
      <c r="H30" s="81">
        <f ca="1">Inputs_Supply!G31</f>
        <v>1557497987.9001813</v>
      </c>
      <c r="I30" s="81">
        <f t="shared" ca="1" si="0"/>
        <v>189292392.16567278</v>
      </c>
      <c r="J30" s="82">
        <f t="shared" ca="1" si="1"/>
        <v>0.13835083905211842</v>
      </c>
    </row>
    <row r="31" spans="2:10" x14ac:dyDescent="0.3">
      <c r="B31" s="4">
        <v>2054</v>
      </c>
      <c r="C31" s="79">
        <f>IF('Trade-off Analysis'!$C$2='Trade-off Analysis'!$I$3,Inputs_Population!D57,IF('Trade-off Analysis'!$C$2='Trade-off Analysis'!$I$4,Inputs_Population!E57,Inputs_Population!F57))</f>
        <v>9609283.8720805254</v>
      </c>
      <c r="D31" s="80">
        <f>Inputs_Tariff!H32</f>
        <v>158.6969696969698</v>
      </c>
      <c r="E31" s="28">
        <f t="shared" si="2"/>
        <v>556611944.48185742</v>
      </c>
      <c r="F31" s="28">
        <f t="shared" si="3"/>
        <v>834034405.69979906</v>
      </c>
      <c r="G31" s="81">
        <f t="shared" si="4"/>
        <v>1390646350.1816564</v>
      </c>
      <c r="H31" s="81">
        <f ca="1">Inputs_Supply!G32</f>
        <v>1557497987.9001813</v>
      </c>
      <c r="I31" s="81">
        <f t="shared" ca="1" si="0"/>
        <v>166851637.71852493</v>
      </c>
      <c r="J31" s="82">
        <f t="shared" ca="1" si="1"/>
        <v>0.11998135809059551</v>
      </c>
    </row>
    <row r="32" spans="2:10" x14ac:dyDescent="0.3">
      <c r="B32" s="4">
        <v>2055</v>
      </c>
      <c r="C32" s="79">
        <f>IF('Trade-off Analysis'!$C$2='Trade-off Analysis'!$I$3,Inputs_Population!D58,IF('Trade-off Analysis'!$C$2='Trade-off Analysis'!$I$4,Inputs_Population!E58,Inputs_Population!F58))</f>
        <v>9710851.6469584834</v>
      </c>
      <c r="D32" s="80">
        <f>Inputs_Tariff!H33</f>
        <v>158.98181818181826</v>
      </c>
      <c r="E32" s="28">
        <f t="shared" si="2"/>
        <v>563504830.58848774</v>
      </c>
      <c r="F32" s="28">
        <f t="shared" si="3"/>
        <v>849729506.44295776</v>
      </c>
      <c r="G32" s="81">
        <f t="shared" si="4"/>
        <v>1413234337.0314455</v>
      </c>
      <c r="H32" s="81">
        <f ca="1">Inputs_Supply!G33</f>
        <v>1557497987.9001813</v>
      </c>
      <c r="I32" s="81">
        <f t="shared" ca="1" si="0"/>
        <v>144263650.86873579</v>
      </c>
      <c r="J32" s="82">
        <f t="shared" ca="1" si="1"/>
        <v>0.10208048806100156</v>
      </c>
    </row>
    <row r="33" spans="2:10" x14ac:dyDescent="0.3">
      <c r="B33" s="4">
        <v>2056</v>
      </c>
      <c r="C33" s="79">
        <f>IF('Trade-off Analysis'!$C$2='Trade-off Analysis'!$I$3,Inputs_Population!D59,IF('Trade-off Analysis'!$C$2='Trade-off Analysis'!$I$4,Inputs_Population!E59,Inputs_Population!F59))</f>
        <v>9812177.7542293333</v>
      </c>
      <c r="D33" s="80">
        <f>Inputs_Tariff!H34</f>
        <v>157.04142779787438</v>
      </c>
      <c r="E33" s="28">
        <f t="shared" si="2"/>
        <v>562435217.58071089</v>
      </c>
      <c r="F33" s="28">
        <f t="shared" si="3"/>
        <v>853473123.8208884</v>
      </c>
      <c r="G33" s="81">
        <f t="shared" si="4"/>
        <v>1415908341.4015994</v>
      </c>
      <c r="H33" s="81">
        <f ca="1">Inputs_Supply!G34</f>
        <v>1557497987.9001813</v>
      </c>
      <c r="I33" s="81">
        <f t="shared" ca="1" si="0"/>
        <v>141589646.49858189</v>
      </c>
      <c r="J33" s="82">
        <f t="shared" ca="1" si="1"/>
        <v>9.9999161215776899E-2</v>
      </c>
    </row>
    <row r="34" spans="2:10" x14ac:dyDescent="0.3">
      <c r="B34" s="4">
        <v>2057</v>
      </c>
      <c r="C34" s="79">
        <f>IF('Trade-off Analysis'!$C$2='Trade-off Analysis'!$I$3,Inputs_Population!D60,IF('Trade-off Analysis'!$C$2='Trade-off Analysis'!$I$4,Inputs_Population!E60,Inputs_Population!F60))</f>
        <v>9913274.0235130247</v>
      </c>
      <c r="D34" s="80">
        <f>Inputs_Tariff!H35</f>
        <v>154.85396133460927</v>
      </c>
      <c r="E34" s="28">
        <f t="shared" si="2"/>
        <v>560315059.60281241</v>
      </c>
      <c r="F34" s="28">
        <f t="shared" si="3"/>
        <v>855592202.12365949</v>
      </c>
      <c r="G34" s="81">
        <f t="shared" si="4"/>
        <v>1415907261.7264719</v>
      </c>
      <c r="H34" s="81">
        <f ca="1">Inputs_Supply!G35</f>
        <v>1557497987.9001813</v>
      </c>
      <c r="I34" s="81">
        <f t="shared" ca="1" si="0"/>
        <v>141590726.17370939</v>
      </c>
      <c r="J34" s="82">
        <f t="shared" ca="1" si="1"/>
        <v>0.10000000000075016</v>
      </c>
    </row>
    <row r="35" spans="2:10" x14ac:dyDescent="0.3">
      <c r="B35" s="4">
        <v>2058</v>
      </c>
      <c r="C35" s="79">
        <f>IF('Trade-off Analysis'!$C$2='Trade-off Analysis'!$I$3,Inputs_Population!D61,IF('Trade-off Analysis'!$C$2='Trade-off Analysis'!$I$4,Inputs_Population!E61,Inputs_Population!F61))</f>
        <v>10014151.381425882</v>
      </c>
      <c r="D35" s="80">
        <f>Inputs_Tariff!H36</f>
        <v>152.71847086013292</v>
      </c>
      <c r="E35" s="28">
        <f t="shared" si="2"/>
        <v>558211248.36563563</v>
      </c>
      <c r="F35" s="28">
        <f t="shared" si="3"/>
        <v>857696013.36180198</v>
      </c>
      <c r="G35" s="81">
        <f t="shared" si="4"/>
        <v>1415907261.7274375</v>
      </c>
      <c r="H35" s="81">
        <f ca="1">Inputs_Supply!G36</f>
        <v>1557497987.9001813</v>
      </c>
      <c r="I35" s="81">
        <f t="shared" ca="1" si="0"/>
        <v>141590726.1727438</v>
      </c>
      <c r="J35" s="82">
        <f t="shared" ca="1" si="1"/>
        <v>0.10000000000000009</v>
      </c>
    </row>
    <row r="36" spans="2:10" x14ac:dyDescent="0.3">
      <c r="B36" s="4">
        <v>2059</v>
      </c>
      <c r="C36" s="79">
        <f>IF('Trade-off Analysis'!$C$2='Trade-off Analysis'!$I$3,Inputs_Population!D62,IF('Trade-off Analysis'!$C$2='Trade-off Analysis'!$I$4,Inputs_Population!E62,Inputs_Population!F62))</f>
        <v>10114819.944828233</v>
      </c>
      <c r="D36" s="80">
        <f>Inputs_Tariff!H37</f>
        <v>150.63294740140782</v>
      </c>
      <c r="E36" s="28">
        <f t="shared" si="2"/>
        <v>556123176.36426795</v>
      </c>
      <c r="F36" s="28">
        <f t="shared" si="3"/>
        <v>859784085.36316967</v>
      </c>
      <c r="G36" s="81">
        <f t="shared" si="4"/>
        <v>1415907261.7274375</v>
      </c>
      <c r="H36" s="81">
        <f ca="1">Inputs_Supply!G37</f>
        <v>1557497987.9001813</v>
      </c>
      <c r="I36" s="81">
        <f t="shared" ca="1" si="0"/>
        <v>141590726.1727438</v>
      </c>
      <c r="J36" s="82">
        <f t="shared" ca="1" si="1"/>
        <v>0.10000000000000009</v>
      </c>
    </row>
    <row r="37" spans="2:10" x14ac:dyDescent="0.3">
      <c r="B37" s="4">
        <v>2060</v>
      </c>
      <c r="C37" s="79">
        <f>IF('Trade-off Analysis'!$C$2='Trade-off Analysis'!$I$3,Inputs_Population!D63,IF('Trade-off Analysis'!$C$2='Trade-off Analysis'!$I$4,Inputs_Population!E63,Inputs_Population!F63))</f>
        <v>10215289.102062415</v>
      </c>
      <c r="D37" s="80">
        <f>Inputs_Tariff!H38</f>
        <v>148.59560208658766</v>
      </c>
      <c r="E37" s="28">
        <f t="shared" si="2"/>
        <v>554050667.63247561</v>
      </c>
      <c r="F37" s="28">
        <f t="shared" si="3"/>
        <v>861856594.094962</v>
      </c>
      <c r="G37" s="81">
        <f t="shared" si="4"/>
        <v>1415907261.7274375</v>
      </c>
      <c r="H37" s="81">
        <f ca="1">Inputs_Supply!G38</f>
        <v>1557497987.9001813</v>
      </c>
      <c r="I37" s="81">
        <f t="shared" ca="1" si="0"/>
        <v>141590726.1727438</v>
      </c>
      <c r="J37" s="82">
        <f t="shared" ca="1" si="1"/>
        <v>0.10000000000000009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40"/>
  <sheetViews>
    <sheetView showGridLines="0" tabSelected="1" zoomScale="85" zoomScaleNormal="85" workbookViewId="0">
      <selection activeCell="B29" sqref="B29"/>
    </sheetView>
  </sheetViews>
  <sheetFormatPr defaultRowHeight="14.4" x14ac:dyDescent="0.3"/>
  <cols>
    <col min="1" max="1" width="11.6640625" customWidth="1"/>
    <col min="2" max="2" width="28.88671875" customWidth="1"/>
    <col min="3" max="3" width="15" customWidth="1"/>
    <col min="4" max="4" width="32" customWidth="1"/>
    <col min="5" max="5" width="15.88671875" customWidth="1"/>
    <col min="6" max="6" width="15.5546875" customWidth="1"/>
    <col min="7" max="7" width="20.33203125" customWidth="1"/>
    <col min="10" max="10" width="18.21875" customWidth="1"/>
    <col min="11" max="11" width="31.21875" customWidth="1"/>
    <col min="12" max="12" width="18.21875" customWidth="1"/>
    <col min="13" max="13" width="19.6640625" customWidth="1"/>
  </cols>
  <sheetData>
    <row r="2" spans="1:9" ht="15.6" x14ac:dyDescent="0.3">
      <c r="B2" s="30" t="s">
        <v>653</v>
      </c>
      <c r="C2" s="23" t="s">
        <v>660</v>
      </c>
      <c r="E2" s="27" t="s">
        <v>0</v>
      </c>
      <c r="F2" s="27" t="s">
        <v>20</v>
      </c>
      <c r="G2" s="27" t="s">
        <v>636</v>
      </c>
      <c r="I2" s="31" t="s">
        <v>655</v>
      </c>
    </row>
    <row r="3" spans="1:9" ht="15.6" x14ac:dyDescent="0.3">
      <c r="B3" s="30" t="s">
        <v>656</v>
      </c>
      <c r="C3" s="23" t="s">
        <v>654</v>
      </c>
      <c r="E3" s="4">
        <v>2026</v>
      </c>
      <c r="F3" s="98">
        <v>0</v>
      </c>
      <c r="G3" s="98">
        <f ca="1">Model_Core!J3</f>
        <v>0.29040671884550395</v>
      </c>
      <c r="I3" s="31" t="s">
        <v>654</v>
      </c>
    </row>
    <row r="4" spans="1:9" ht="15.6" x14ac:dyDescent="0.3">
      <c r="B4" s="30" t="s">
        <v>657</v>
      </c>
      <c r="C4" s="72">
        <f>MIN(Inputs_Tariff!D4:D38)</f>
        <v>1.43</v>
      </c>
      <c r="E4" s="4">
        <v>2027</v>
      </c>
      <c r="F4" s="98">
        <v>0</v>
      </c>
      <c r="G4" s="98">
        <f ca="1">Model_Core!J4</f>
        <v>0.54048421029880811</v>
      </c>
      <c r="I4" s="31" t="s">
        <v>658</v>
      </c>
    </row>
    <row r="5" spans="1:9" ht="15.6" x14ac:dyDescent="0.3">
      <c r="B5" s="30" t="s">
        <v>659</v>
      </c>
      <c r="C5" s="72">
        <f>MAX(Inputs_Tariff!D4:D38)</f>
        <v>3.8057804286992805</v>
      </c>
      <c r="E5" s="4">
        <v>2028</v>
      </c>
      <c r="F5" s="98">
        <v>0</v>
      </c>
      <c r="G5" s="98">
        <f ca="1">Model_Core!J5</f>
        <v>0.50086280557919349</v>
      </c>
      <c r="I5" s="31" t="s">
        <v>660</v>
      </c>
    </row>
    <row r="6" spans="1:9" ht="15.6" x14ac:dyDescent="0.3">
      <c r="B6" s="30" t="s">
        <v>661</v>
      </c>
      <c r="C6" s="73">
        <f ca="1">MIN(Model_Core!J3:J37)</f>
        <v>9.9999161215776899E-2</v>
      </c>
      <c r="E6" s="4">
        <v>2029</v>
      </c>
      <c r="F6" s="98">
        <v>0</v>
      </c>
      <c r="G6" s="98">
        <f ca="1">Model_Core!J6</f>
        <v>0.46415043713541237</v>
      </c>
    </row>
    <row r="7" spans="1:9" ht="15.6" x14ac:dyDescent="0.3">
      <c r="B7" s="30" t="s">
        <v>662</v>
      </c>
      <c r="C7" s="73">
        <f>AVERAGE(Inputs_Tariff!F4:F38)</f>
        <v>3.1547380280091339E-2</v>
      </c>
      <c r="E7" s="4">
        <v>2030</v>
      </c>
      <c r="F7" s="98">
        <v>0</v>
      </c>
      <c r="G7" s="98">
        <f ca="1">Model_Core!J7</f>
        <v>0.42971546289683271</v>
      </c>
    </row>
    <row r="8" spans="1:9" ht="15.6" x14ac:dyDescent="0.3">
      <c r="B8" s="21"/>
      <c r="C8" s="22"/>
      <c r="E8" s="4">
        <v>2031</v>
      </c>
      <c r="F8" s="98">
        <v>0</v>
      </c>
      <c r="G8" s="98">
        <f ca="1">Model_Core!J8</f>
        <v>0.39716842516838224</v>
      </c>
    </row>
    <row r="9" spans="1:9" ht="15.6" x14ac:dyDescent="0.3">
      <c r="B9" s="21"/>
      <c r="C9" s="21"/>
      <c r="D9" s="25"/>
      <c r="E9" s="4">
        <v>2032</v>
      </c>
      <c r="F9" s="98">
        <v>0</v>
      </c>
      <c r="G9" s="98">
        <f ca="1">Model_Core!J9</f>
        <v>0.36624323442778906</v>
      </c>
    </row>
    <row r="10" spans="1:9" ht="15.6" x14ac:dyDescent="0.3">
      <c r="B10" s="24" t="s">
        <v>663</v>
      </c>
      <c r="C10" s="24"/>
      <c r="E10" s="4">
        <v>2033</v>
      </c>
      <c r="F10" s="98">
        <v>0</v>
      </c>
      <c r="G10" s="98">
        <f ca="1">Model_Core!J10</f>
        <v>0.33674505965132528</v>
      </c>
    </row>
    <row r="11" spans="1:9" ht="15.6" x14ac:dyDescent="0.3">
      <c r="B11" s="34" t="s">
        <v>664</v>
      </c>
      <c r="C11" s="34" t="s">
        <v>665</v>
      </c>
      <c r="D11" s="35" t="s">
        <v>666</v>
      </c>
      <c r="E11" s="4">
        <v>2034</v>
      </c>
      <c r="F11" s="98">
        <v>0</v>
      </c>
      <c r="G11" s="98">
        <f ca="1">Model_Core!J11</f>
        <v>0.30852399187456681</v>
      </c>
    </row>
    <row r="12" spans="1:9" ht="15.6" x14ac:dyDescent="0.3">
      <c r="B12" s="34" t="s">
        <v>667</v>
      </c>
      <c r="C12" s="34" t="s">
        <v>668</v>
      </c>
      <c r="D12" s="35"/>
      <c r="E12" s="4">
        <v>2035</v>
      </c>
      <c r="F12" s="98">
        <v>0</v>
      </c>
      <c r="G12" s="98">
        <f ca="1">Model_Core!J12</f>
        <v>0.5796655845519576</v>
      </c>
    </row>
    <row r="13" spans="1:9" ht="15.6" x14ac:dyDescent="0.3">
      <c r="B13" s="34" t="s">
        <v>669</v>
      </c>
      <c r="C13" s="35"/>
      <c r="E13" s="4">
        <v>2036</v>
      </c>
      <c r="F13" s="98">
        <v>0</v>
      </c>
      <c r="G13" s="98">
        <f ca="1">Model_Core!J13</f>
        <v>0.54760955734517736</v>
      </c>
    </row>
    <row r="14" spans="1:9" ht="15.6" x14ac:dyDescent="0.3">
      <c r="B14" s="34" t="s">
        <v>657</v>
      </c>
      <c r="C14" s="34" t="s">
        <v>670</v>
      </c>
      <c r="D14" s="35" t="s">
        <v>696</v>
      </c>
      <c r="E14" s="4">
        <v>2037</v>
      </c>
      <c r="F14" s="98">
        <v>0</v>
      </c>
      <c r="G14" s="98">
        <f ca="1">Model_Core!J14</f>
        <v>0.51675723684453723</v>
      </c>
    </row>
    <row r="15" spans="1:9" ht="15.6" x14ac:dyDescent="0.3">
      <c r="B15" s="34" t="s">
        <v>659</v>
      </c>
      <c r="C15" s="34" t="s">
        <v>672</v>
      </c>
      <c r="D15" s="35" t="s">
        <v>671</v>
      </c>
      <c r="E15" s="4">
        <v>2038</v>
      </c>
      <c r="F15" s="98">
        <v>0</v>
      </c>
      <c r="G15" s="98">
        <f ca="1">Model_Core!J15</f>
        <v>0.48702151847767761</v>
      </c>
    </row>
    <row r="16" spans="1:9" ht="15.6" x14ac:dyDescent="0.3">
      <c r="A16" s="33"/>
      <c r="B16" s="34" t="s">
        <v>673</v>
      </c>
      <c r="C16" s="34" t="s">
        <v>645</v>
      </c>
      <c r="D16" t="s">
        <v>674</v>
      </c>
      <c r="E16" s="4">
        <v>2039</v>
      </c>
      <c r="F16" s="98">
        <v>0</v>
      </c>
      <c r="G16" s="98">
        <f ca="1">Model_Core!J16</f>
        <v>0.45832679561933887</v>
      </c>
    </row>
    <row r="17" spans="1:7" ht="16.8" customHeight="1" x14ac:dyDescent="0.3">
      <c r="A17" s="33"/>
      <c r="B17" s="34"/>
      <c r="C17" s="34"/>
      <c r="D17" s="35"/>
      <c r="E17" s="4">
        <v>2040</v>
      </c>
      <c r="F17" s="98">
        <v>0</v>
      </c>
      <c r="G17" s="98">
        <f ca="1">Model_Core!J17</f>
        <v>0.43060664197735687</v>
      </c>
    </row>
    <row r="18" spans="1:7" ht="18" customHeight="1" x14ac:dyDescent="0.3">
      <c r="A18" s="33"/>
      <c r="C18" s="34"/>
      <c r="D18" s="35"/>
      <c r="E18" s="4">
        <v>2041</v>
      </c>
      <c r="F18" s="98">
        <v>0</v>
      </c>
      <c r="G18" s="98">
        <f ca="1">Model_Core!J18</f>
        <v>0.40380210243604853</v>
      </c>
    </row>
    <row r="19" spans="1:7" ht="15.6" x14ac:dyDescent="0.3">
      <c r="A19" s="33"/>
      <c r="B19" s="36" t="s">
        <v>675</v>
      </c>
      <c r="C19" s="34"/>
      <c r="D19" s="35"/>
      <c r="E19" s="4">
        <v>2042</v>
      </c>
      <c r="F19" s="98">
        <v>0</v>
      </c>
      <c r="G19" s="98">
        <f ca="1">Model_Core!J19</f>
        <v>0.37786040239214724</v>
      </c>
    </row>
    <row r="20" spans="1:7" ht="15.6" x14ac:dyDescent="0.3">
      <c r="A20" s="33"/>
      <c r="B20" s="21" t="s">
        <v>653</v>
      </c>
      <c r="C20" s="34" t="s">
        <v>676</v>
      </c>
      <c r="D20" s="35" t="s">
        <v>677</v>
      </c>
      <c r="E20" s="4">
        <v>2043</v>
      </c>
      <c r="F20" s="98">
        <v>0</v>
      </c>
      <c r="G20" s="98">
        <f ca="1">Model_Core!J20</f>
        <v>0.35273395281400499</v>
      </c>
    </row>
    <row r="21" spans="1:7" ht="15.6" x14ac:dyDescent="0.3">
      <c r="A21" s="33"/>
      <c r="B21" s="21" t="s">
        <v>656</v>
      </c>
      <c r="C21" s="34" t="s">
        <v>678</v>
      </c>
      <c r="D21" s="35" t="s">
        <v>677</v>
      </c>
      <c r="E21" s="4">
        <v>2044</v>
      </c>
      <c r="F21" s="98">
        <v>0</v>
      </c>
      <c r="G21" s="98">
        <f ca="1">Model_Core!J21</f>
        <v>0.32837956926988299</v>
      </c>
    </row>
    <row r="22" spans="1:7" ht="15.6" x14ac:dyDescent="0.3">
      <c r="A22" s="33"/>
      <c r="B22" s="21" t="s">
        <v>657</v>
      </c>
      <c r="C22" s="34" t="s">
        <v>670</v>
      </c>
      <c r="D22" s="37" t="s">
        <v>679</v>
      </c>
      <c r="E22" s="4">
        <v>2045</v>
      </c>
      <c r="F22" s="98">
        <v>0</v>
      </c>
      <c r="G22" s="98">
        <f ca="1">Model_Core!J22</f>
        <v>0.30475784903659475</v>
      </c>
    </row>
    <row r="23" spans="1:7" ht="15.6" x14ac:dyDescent="0.3">
      <c r="A23" s="33"/>
      <c r="B23" s="34" t="s">
        <v>659</v>
      </c>
      <c r="C23" s="34" t="s">
        <v>672</v>
      </c>
      <c r="D23" s="37" t="s">
        <v>680</v>
      </c>
      <c r="E23" s="4">
        <v>2046</v>
      </c>
      <c r="F23" s="98">
        <v>0</v>
      </c>
      <c r="G23" s="98">
        <f ca="1">Model_Core!J23</f>
        <v>0.28183266718489852</v>
      </c>
    </row>
    <row r="24" spans="1:7" ht="15.6" x14ac:dyDescent="0.3">
      <c r="A24" s="33"/>
      <c r="B24" s="21" t="s">
        <v>661</v>
      </c>
      <c r="C24" s="34" t="s">
        <v>681</v>
      </c>
      <c r="D24" s="37" t="s">
        <v>682</v>
      </c>
      <c r="E24" s="4">
        <v>2047</v>
      </c>
      <c r="F24" s="98">
        <v>0</v>
      </c>
      <c r="G24" s="98">
        <f ca="1">Model_Core!J24</f>
        <v>0.25957076371037568</v>
      </c>
    </row>
    <row r="25" spans="1:7" ht="15.6" x14ac:dyDescent="0.3">
      <c r="A25" s="33"/>
      <c r="B25" s="38" t="s">
        <v>662</v>
      </c>
      <c r="C25" s="34" t="s">
        <v>683</v>
      </c>
      <c r="D25" s="37" t="s">
        <v>684</v>
      </c>
      <c r="E25" s="4">
        <v>2048</v>
      </c>
      <c r="F25" s="98">
        <v>0</v>
      </c>
      <c r="G25" s="98">
        <f ca="1">Model_Core!J25</f>
        <v>0.23794140138518505</v>
      </c>
    </row>
    <row r="26" spans="1:7" ht="15.6" x14ac:dyDescent="0.3">
      <c r="A26" s="33"/>
      <c r="C26" s="21"/>
      <c r="E26" s="4">
        <v>2049</v>
      </c>
      <c r="F26" s="98">
        <v>0</v>
      </c>
      <c r="G26" s="98">
        <f ca="1">Model_Core!J26</f>
        <v>0.21691607929134515</v>
      </c>
    </row>
    <row r="27" spans="1:7" ht="15.6" x14ac:dyDescent="0.3">
      <c r="A27" s="33"/>
      <c r="C27" s="21"/>
      <c r="E27" s="4">
        <v>2050</v>
      </c>
      <c r="F27" s="98">
        <v>0</v>
      </c>
      <c r="G27" s="98">
        <f ca="1">Model_Core!J27</f>
        <v>0.19646829073665351</v>
      </c>
    </row>
    <row r="28" spans="1:7" ht="15.6" x14ac:dyDescent="0.3">
      <c r="A28" s="33"/>
      <c r="B28" s="32"/>
      <c r="C28" s="21"/>
      <c r="E28" s="4">
        <v>2051</v>
      </c>
      <c r="F28" s="98">
        <v>0</v>
      </c>
      <c r="G28" s="98">
        <f ca="1">Model_Core!J28</f>
        <v>0.17657331694604017</v>
      </c>
    </row>
    <row r="29" spans="1:7" ht="15.6" x14ac:dyDescent="0.3">
      <c r="A29" s="33"/>
      <c r="B29" s="32"/>
      <c r="C29" s="21"/>
      <c r="E29" s="4">
        <v>2052</v>
      </c>
      <c r="F29" s="98">
        <v>0</v>
      </c>
      <c r="G29" s="98">
        <f ca="1">Model_Core!J29</f>
        <v>0.15720804988788628</v>
      </c>
    </row>
    <row r="30" spans="1:7" ht="15.6" x14ac:dyDescent="0.3">
      <c r="A30" s="33"/>
      <c r="B30" s="32"/>
      <c r="C30" s="21"/>
      <c r="E30" s="4">
        <v>2053</v>
      </c>
      <c r="F30" s="98">
        <v>0</v>
      </c>
      <c r="G30" s="98">
        <f ca="1">Model_Core!J30</f>
        <v>0.13835083905211842</v>
      </c>
    </row>
    <row r="31" spans="1:7" x14ac:dyDescent="0.3">
      <c r="A31" s="33"/>
      <c r="B31" s="33"/>
      <c r="E31" s="4">
        <v>2054</v>
      </c>
      <c r="F31" s="98">
        <v>0</v>
      </c>
      <c r="G31" s="98">
        <f ca="1">Model_Core!J31</f>
        <v>0.11998135809059551</v>
      </c>
    </row>
    <row r="32" spans="1:7" x14ac:dyDescent="0.3">
      <c r="B32" s="33"/>
      <c r="E32" s="4">
        <v>2055</v>
      </c>
      <c r="F32" s="98">
        <v>0</v>
      </c>
      <c r="G32" s="98">
        <f ca="1">Model_Core!J32</f>
        <v>0.10208048806100156</v>
      </c>
    </row>
    <row r="33" spans="1:7" x14ac:dyDescent="0.3">
      <c r="B33" s="26"/>
      <c r="E33" s="4">
        <v>2056</v>
      </c>
      <c r="F33" s="98">
        <v>6.9858901280629979E-2</v>
      </c>
      <c r="G33" s="98">
        <f ca="1">Model_Core!J33</f>
        <v>9.9999161215776899E-2</v>
      </c>
    </row>
    <row r="34" spans="1:7" x14ac:dyDescent="0.3">
      <c r="B34" s="26"/>
      <c r="E34" s="4">
        <v>2057</v>
      </c>
      <c r="F34" s="98">
        <v>0.14721119421664752</v>
      </c>
      <c r="G34" s="98">
        <f ca="1">Model_Core!J34</f>
        <v>0.10000000000075016</v>
      </c>
    </row>
    <row r="35" spans="1:7" x14ac:dyDescent="0.3">
      <c r="B35" s="26"/>
      <c r="E35" s="4">
        <v>2058</v>
      </c>
      <c r="F35" s="98">
        <v>0.22266187162592055</v>
      </c>
      <c r="G35" s="98">
        <f ca="1">Model_Core!J35</f>
        <v>0.10000000000000009</v>
      </c>
    </row>
    <row r="36" spans="1:7" x14ac:dyDescent="0.3">
      <c r="B36" s="26"/>
      <c r="E36" s="4">
        <v>2059</v>
      </c>
      <c r="F36" s="98">
        <v>0.29628381505823626</v>
      </c>
      <c r="G36" s="98">
        <f ca="1">Model_Core!J36</f>
        <v>0.10000000000000009</v>
      </c>
    </row>
    <row r="37" spans="1:7" x14ac:dyDescent="0.3">
      <c r="A37" s="26"/>
      <c r="B37" s="26"/>
      <c r="E37" s="4">
        <v>2060</v>
      </c>
      <c r="F37" s="98">
        <v>0.36814252762176236</v>
      </c>
      <c r="G37" s="98">
        <f ca="1">Model_Core!J37</f>
        <v>0.10000000000000009</v>
      </c>
    </row>
    <row r="38" spans="1:7" x14ac:dyDescent="0.3">
      <c r="A38" s="26"/>
      <c r="B38" s="26"/>
    </row>
    <row r="39" spans="1:7" x14ac:dyDescent="0.3">
      <c r="A39" s="26"/>
    </row>
    <row r="40" spans="1:7" x14ac:dyDescent="0.3">
      <c r="A40" s="26"/>
    </row>
  </sheetData>
  <conditionalFormatting sqref="G3:G37">
    <cfRule type="cellIs" dxfId="0" priority="1" operator="lessThan">
      <formula>0</formula>
    </cfRule>
  </conditionalFormatting>
  <dataValidations count="1">
    <dataValidation type="list" allowBlank="1" showInputMessage="1" showErrorMessage="1" sqref="C2:C3" xr:uid="{1C23CD46-0A6D-4FF9-854E-B7B1AD040E03}">
      <formula1>$I$3:$I$5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BC2C-F791-43E8-A134-DDECE2C95429}">
  <dimension ref="B2:M61"/>
  <sheetViews>
    <sheetView topLeftCell="A3" zoomScale="70" zoomScaleNormal="70" workbookViewId="0">
      <selection activeCell="B41" sqref="B41"/>
    </sheetView>
  </sheetViews>
  <sheetFormatPr defaultRowHeight="14.4" x14ac:dyDescent="0.3"/>
  <cols>
    <col min="2" max="2" width="17.21875" customWidth="1"/>
    <col min="3" max="3" width="20" customWidth="1"/>
    <col min="4" max="13" width="14" customWidth="1"/>
  </cols>
  <sheetData>
    <row r="2" spans="2:13" ht="15.6" x14ac:dyDescent="0.3">
      <c r="D2" s="99" t="s">
        <v>685</v>
      </c>
      <c r="E2" s="99"/>
      <c r="F2" s="99"/>
      <c r="G2" s="99"/>
      <c r="H2" s="99"/>
      <c r="I2" s="99"/>
      <c r="J2" s="99"/>
      <c r="K2" s="99"/>
      <c r="L2" s="99"/>
      <c r="M2" s="99"/>
    </row>
    <row r="3" spans="2:13" x14ac:dyDescent="0.3">
      <c r="B3" s="67" t="s">
        <v>0</v>
      </c>
      <c r="C3" s="67" t="s">
        <v>636</v>
      </c>
      <c r="D3" s="66">
        <v>-0.1</v>
      </c>
      <c r="E3" s="66">
        <v>-0.2</v>
      </c>
      <c r="F3" s="66">
        <v>-0.3</v>
      </c>
      <c r="G3" s="66">
        <v>-0.4</v>
      </c>
      <c r="H3" s="66">
        <v>-0.5</v>
      </c>
      <c r="I3" s="66">
        <v>-0.6</v>
      </c>
      <c r="J3" s="66">
        <v>-0.7</v>
      </c>
      <c r="K3" s="66">
        <v>-0.8</v>
      </c>
      <c r="L3" s="66">
        <v>-0.9</v>
      </c>
      <c r="M3" s="66">
        <v>-1</v>
      </c>
    </row>
    <row r="4" spans="2:13" x14ac:dyDescent="0.3">
      <c r="B4" s="69">
        <v>2026</v>
      </c>
      <c r="C4" s="95">
        <f ca="1">Model_Core!J3</f>
        <v>0.29040671884550395</v>
      </c>
      <c r="D4" s="96">
        <f t="dataTable" ref="D4:M38" dt2D="0" dtr="1" r1="C44" ca="1"/>
        <v>0.29040671884550395</v>
      </c>
      <c r="E4" s="96">
        <v>0.29040671884550395</v>
      </c>
      <c r="F4" s="96">
        <v>0.29040671884550395</v>
      </c>
      <c r="G4" s="96">
        <v>0.29040671884550395</v>
      </c>
      <c r="H4" s="96">
        <v>0.29040671884550395</v>
      </c>
      <c r="I4" s="96">
        <v>0.29040671884550395</v>
      </c>
      <c r="J4" s="96">
        <v>0.29040671884550395</v>
      </c>
      <c r="K4" s="96">
        <v>0.29040671884550395</v>
      </c>
      <c r="L4" s="96">
        <v>0.29040671884550395</v>
      </c>
      <c r="M4" s="96">
        <v>0.29040671884550395</v>
      </c>
    </row>
    <row r="5" spans="2:13" x14ac:dyDescent="0.3">
      <c r="B5" s="69">
        <v>2027</v>
      </c>
      <c r="C5" s="95">
        <f ca="1">Model_Core!J4</f>
        <v>0.54048421029880811</v>
      </c>
      <c r="D5" s="96">
        <v>0.54048421029880811</v>
      </c>
      <c r="E5" s="96">
        <v>0.54048421029880811</v>
      </c>
      <c r="F5" s="96">
        <v>0.54048421029880811</v>
      </c>
      <c r="G5" s="96">
        <v>0.54048421029880811</v>
      </c>
      <c r="H5" s="96">
        <v>0.54048421029880811</v>
      </c>
      <c r="I5" s="96">
        <v>0.54048421029880811</v>
      </c>
      <c r="J5" s="96">
        <v>0.54048421029880811</v>
      </c>
      <c r="K5" s="96">
        <v>0.54048421029880811</v>
      </c>
      <c r="L5" s="96">
        <v>0.54048421029880811</v>
      </c>
      <c r="M5" s="96">
        <v>0.54048421029880811</v>
      </c>
    </row>
    <row r="6" spans="2:13" x14ac:dyDescent="0.3">
      <c r="B6" s="69">
        <v>2028</v>
      </c>
      <c r="C6" s="95">
        <f ca="1">Model_Core!J5</f>
        <v>0.50086280557919349</v>
      </c>
      <c r="D6" s="96">
        <v>0.50086280557919349</v>
      </c>
      <c r="E6" s="96">
        <v>0.50086280557919349</v>
      </c>
      <c r="F6" s="96">
        <v>0.50086280557919349</v>
      </c>
      <c r="G6" s="96">
        <v>0.50086280557919349</v>
      </c>
      <c r="H6" s="96">
        <v>0.50086280557919349</v>
      </c>
      <c r="I6" s="96">
        <v>0.50086280557919349</v>
      </c>
      <c r="J6" s="96">
        <v>0.50086280557919349</v>
      </c>
      <c r="K6" s="96">
        <v>0.50086280557919349</v>
      </c>
      <c r="L6" s="96">
        <v>0.50086280557919349</v>
      </c>
      <c r="M6" s="96">
        <v>0.50086280557919349</v>
      </c>
    </row>
    <row r="7" spans="2:13" x14ac:dyDescent="0.3">
      <c r="B7" s="69">
        <v>2029</v>
      </c>
      <c r="C7" s="95">
        <f ca="1">Model_Core!J6</f>
        <v>0.46415043713541237</v>
      </c>
      <c r="D7" s="96">
        <v>0.46415043713541237</v>
      </c>
      <c r="E7" s="96">
        <v>0.46415043713541237</v>
      </c>
      <c r="F7" s="96">
        <v>0.46415043713541237</v>
      </c>
      <c r="G7" s="96">
        <v>0.46415043713541237</v>
      </c>
      <c r="H7" s="96">
        <v>0.46415043713541237</v>
      </c>
      <c r="I7" s="96">
        <v>0.46415043713541237</v>
      </c>
      <c r="J7" s="96">
        <v>0.46415043713541237</v>
      </c>
      <c r="K7" s="96">
        <v>0.46415043713541237</v>
      </c>
      <c r="L7" s="96">
        <v>0.46415043713541237</v>
      </c>
      <c r="M7" s="96">
        <v>0.46415043713541237</v>
      </c>
    </row>
    <row r="8" spans="2:13" x14ac:dyDescent="0.3">
      <c r="B8" s="69">
        <v>2030</v>
      </c>
      <c r="C8" s="95">
        <f ca="1">Model_Core!J7</f>
        <v>0.42971546289683271</v>
      </c>
      <c r="D8" s="96">
        <v>0.42971546289683271</v>
      </c>
      <c r="E8" s="96">
        <v>0.42971546289683271</v>
      </c>
      <c r="F8" s="96">
        <v>0.42971546289683271</v>
      </c>
      <c r="G8" s="96">
        <v>0.42971546289683271</v>
      </c>
      <c r="H8" s="96">
        <v>0.42971546289683271</v>
      </c>
      <c r="I8" s="96">
        <v>0.42971546289683271</v>
      </c>
      <c r="J8" s="96">
        <v>0.42971546289683271</v>
      </c>
      <c r="K8" s="96">
        <v>0.42971546289683271</v>
      </c>
      <c r="L8" s="96">
        <v>0.42971546289683271</v>
      </c>
      <c r="M8" s="96">
        <v>0.42971546289683271</v>
      </c>
    </row>
    <row r="9" spans="2:13" x14ac:dyDescent="0.3">
      <c r="B9" s="69">
        <v>2031</v>
      </c>
      <c r="C9" s="95">
        <f ca="1">Model_Core!J8</f>
        <v>0.39716842516838224</v>
      </c>
      <c r="D9" s="96">
        <v>0.39716842516838224</v>
      </c>
      <c r="E9" s="96">
        <v>0.39716842516838224</v>
      </c>
      <c r="F9" s="96">
        <v>0.39716842516838224</v>
      </c>
      <c r="G9" s="96">
        <v>0.39716842516838224</v>
      </c>
      <c r="H9" s="96">
        <v>0.39716842516838224</v>
      </c>
      <c r="I9" s="96">
        <v>0.39716842516838224</v>
      </c>
      <c r="J9" s="96">
        <v>0.39716842516838224</v>
      </c>
      <c r="K9" s="96">
        <v>0.39716842516838224</v>
      </c>
      <c r="L9" s="96">
        <v>0.39716842516838224</v>
      </c>
      <c r="M9" s="96">
        <v>0.39716842516838224</v>
      </c>
    </row>
    <row r="10" spans="2:13" x14ac:dyDescent="0.3">
      <c r="B10" s="69">
        <v>2032</v>
      </c>
      <c r="C10" s="95">
        <f ca="1">Model_Core!J9</f>
        <v>0.36624323442778906</v>
      </c>
      <c r="D10" s="96">
        <v>0.36624323442778906</v>
      </c>
      <c r="E10" s="96">
        <v>0.36624323442778906</v>
      </c>
      <c r="F10" s="96">
        <v>0.36624323442778906</v>
      </c>
      <c r="G10" s="96">
        <v>0.36624323442778906</v>
      </c>
      <c r="H10" s="96">
        <v>0.36624323442778906</v>
      </c>
      <c r="I10" s="96">
        <v>0.36624323442778906</v>
      </c>
      <c r="J10" s="96">
        <v>0.36624323442778906</v>
      </c>
      <c r="K10" s="96">
        <v>0.36624323442778906</v>
      </c>
      <c r="L10" s="96">
        <v>0.36624323442778906</v>
      </c>
      <c r="M10" s="96">
        <v>0.36624323442778906</v>
      </c>
    </row>
    <row r="11" spans="2:13" x14ac:dyDescent="0.3">
      <c r="B11" s="69">
        <v>2033</v>
      </c>
      <c r="C11" s="95">
        <f ca="1">Model_Core!J10</f>
        <v>0.33674505965132528</v>
      </c>
      <c r="D11" s="96">
        <v>0.33674505965132528</v>
      </c>
      <c r="E11" s="96">
        <v>0.33674505965132528</v>
      </c>
      <c r="F11" s="96">
        <v>0.33674505965132528</v>
      </c>
      <c r="G11" s="96">
        <v>0.33674505965132528</v>
      </c>
      <c r="H11" s="96">
        <v>0.33674505965132528</v>
      </c>
      <c r="I11" s="96">
        <v>0.33674505965132528</v>
      </c>
      <c r="J11" s="96">
        <v>0.33674505965132528</v>
      </c>
      <c r="K11" s="96">
        <v>0.33674505965132528</v>
      </c>
      <c r="L11" s="96">
        <v>0.33674505965132528</v>
      </c>
      <c r="M11" s="96">
        <v>0.33674505965132528</v>
      </c>
    </row>
    <row r="12" spans="2:13" x14ac:dyDescent="0.3">
      <c r="B12" s="69">
        <v>2034</v>
      </c>
      <c r="C12" s="95">
        <f ca="1">Model_Core!J11</f>
        <v>0.30852399187456681</v>
      </c>
      <c r="D12" s="96">
        <v>0.30852399187456681</v>
      </c>
      <c r="E12" s="96">
        <v>0.30852399187456681</v>
      </c>
      <c r="F12" s="96">
        <v>0.30852399187456681</v>
      </c>
      <c r="G12" s="96">
        <v>0.30852399187456681</v>
      </c>
      <c r="H12" s="96">
        <v>0.30852399187456681</v>
      </c>
      <c r="I12" s="96">
        <v>0.30852399187456681</v>
      </c>
      <c r="J12" s="96">
        <v>0.30852399187456681</v>
      </c>
      <c r="K12" s="96">
        <v>0.30852399187456681</v>
      </c>
      <c r="L12" s="96">
        <v>0.30852399187456681</v>
      </c>
      <c r="M12" s="96">
        <v>0.30852399187456681</v>
      </c>
    </row>
    <row r="13" spans="2:13" x14ac:dyDescent="0.3">
      <c r="B13" s="69">
        <v>2035</v>
      </c>
      <c r="C13" s="95">
        <f ca="1">Model_Core!J12</f>
        <v>0.5796655845519576</v>
      </c>
      <c r="D13" s="96">
        <v>0.5796655845519576</v>
      </c>
      <c r="E13" s="96">
        <v>0.5796655845519576</v>
      </c>
      <c r="F13" s="96">
        <v>0.5796655845519576</v>
      </c>
      <c r="G13" s="96">
        <v>0.5796655845519576</v>
      </c>
      <c r="H13" s="96">
        <v>0.5796655845519576</v>
      </c>
      <c r="I13" s="96">
        <v>0.5796655845519576</v>
      </c>
      <c r="J13" s="96">
        <v>0.5796655845519576</v>
      </c>
      <c r="K13" s="96">
        <v>0.5796655845519576</v>
      </c>
      <c r="L13" s="96">
        <v>0.5796655845519576</v>
      </c>
      <c r="M13" s="96">
        <v>0.5796655845519576</v>
      </c>
    </row>
    <row r="14" spans="2:13" x14ac:dyDescent="0.3">
      <c r="B14" s="69">
        <v>2036</v>
      </c>
      <c r="C14" s="95">
        <f ca="1">Model_Core!J13</f>
        <v>0.54760955734517736</v>
      </c>
      <c r="D14" s="96">
        <v>0.54760955734517736</v>
      </c>
      <c r="E14" s="96">
        <v>0.54760955734517736</v>
      </c>
      <c r="F14" s="96">
        <v>0.54760955734517736</v>
      </c>
      <c r="G14" s="96">
        <v>0.54760955734517736</v>
      </c>
      <c r="H14" s="96">
        <v>0.54760955734517736</v>
      </c>
      <c r="I14" s="96">
        <v>0.54760955734517736</v>
      </c>
      <c r="J14" s="96">
        <v>0.54760955734517736</v>
      </c>
      <c r="K14" s="96">
        <v>0.54760955734517736</v>
      </c>
      <c r="L14" s="96">
        <v>0.54760955734517736</v>
      </c>
      <c r="M14" s="96">
        <v>0.54760955734517736</v>
      </c>
    </row>
    <row r="15" spans="2:13" x14ac:dyDescent="0.3">
      <c r="B15" s="69">
        <v>2037</v>
      </c>
      <c r="C15" s="95">
        <f ca="1">Model_Core!J14</f>
        <v>0.51675723684453723</v>
      </c>
      <c r="D15" s="96">
        <v>0.51675723684453723</v>
      </c>
      <c r="E15" s="96">
        <v>0.51675723684453723</v>
      </c>
      <c r="F15" s="96">
        <v>0.51675723684453723</v>
      </c>
      <c r="G15" s="96">
        <v>0.51675723684453723</v>
      </c>
      <c r="H15" s="96">
        <v>0.51675723684453723</v>
      </c>
      <c r="I15" s="96">
        <v>0.51675723684453723</v>
      </c>
      <c r="J15" s="96">
        <v>0.51675723684453723</v>
      </c>
      <c r="K15" s="96">
        <v>0.51675723684453723</v>
      </c>
      <c r="L15" s="96">
        <v>0.51675723684453723</v>
      </c>
      <c r="M15" s="96">
        <v>0.51675723684453723</v>
      </c>
    </row>
    <row r="16" spans="2:13" x14ac:dyDescent="0.3">
      <c r="B16" s="69">
        <v>2038</v>
      </c>
      <c r="C16" s="95">
        <f ca="1">Model_Core!J15</f>
        <v>0.48702151847767761</v>
      </c>
      <c r="D16" s="96">
        <v>0.48702151847767761</v>
      </c>
      <c r="E16" s="96">
        <v>0.48702151847767761</v>
      </c>
      <c r="F16" s="96">
        <v>0.48702151847767761</v>
      </c>
      <c r="G16" s="96">
        <v>0.48702151847767761</v>
      </c>
      <c r="H16" s="96">
        <v>0.48702151847767761</v>
      </c>
      <c r="I16" s="96">
        <v>0.48702151847767761</v>
      </c>
      <c r="J16" s="96">
        <v>0.48702151847767761</v>
      </c>
      <c r="K16" s="96">
        <v>0.48702151847767761</v>
      </c>
      <c r="L16" s="96">
        <v>0.48702151847767761</v>
      </c>
      <c r="M16" s="96">
        <v>0.48702151847767761</v>
      </c>
    </row>
    <row r="17" spans="2:13" x14ac:dyDescent="0.3">
      <c r="B17" s="69">
        <v>2039</v>
      </c>
      <c r="C17" s="95">
        <f ca="1">Model_Core!J16</f>
        <v>0.45832679561933887</v>
      </c>
      <c r="D17" s="96">
        <v>0.45832679561933887</v>
      </c>
      <c r="E17" s="96">
        <v>0.45832679561933887</v>
      </c>
      <c r="F17" s="96">
        <v>0.45832679561933887</v>
      </c>
      <c r="G17" s="96">
        <v>0.45832679561933887</v>
      </c>
      <c r="H17" s="96">
        <v>0.45832679561933887</v>
      </c>
      <c r="I17" s="96">
        <v>0.45832679561933887</v>
      </c>
      <c r="J17" s="96">
        <v>0.45832679561933887</v>
      </c>
      <c r="K17" s="96">
        <v>0.45832679561933887</v>
      </c>
      <c r="L17" s="96">
        <v>0.45832679561933887</v>
      </c>
      <c r="M17" s="96">
        <v>0.45832679561933887</v>
      </c>
    </row>
    <row r="18" spans="2:13" x14ac:dyDescent="0.3">
      <c r="B18" s="69">
        <v>2040</v>
      </c>
      <c r="C18" s="95">
        <f ca="1">Model_Core!J17</f>
        <v>0.43060664197735687</v>
      </c>
      <c r="D18" s="96">
        <v>0.43060664197735687</v>
      </c>
      <c r="E18" s="96">
        <v>0.43060664197735687</v>
      </c>
      <c r="F18" s="96">
        <v>0.43060664197735687</v>
      </c>
      <c r="G18" s="96">
        <v>0.43060664197735687</v>
      </c>
      <c r="H18" s="96">
        <v>0.43060664197735687</v>
      </c>
      <c r="I18" s="96">
        <v>0.43060664197735687</v>
      </c>
      <c r="J18" s="96">
        <v>0.43060664197735687</v>
      </c>
      <c r="K18" s="96">
        <v>0.43060664197735687</v>
      </c>
      <c r="L18" s="96">
        <v>0.43060664197735687</v>
      </c>
      <c r="M18" s="96">
        <v>0.43060664197735687</v>
      </c>
    </row>
    <row r="19" spans="2:13" x14ac:dyDescent="0.3">
      <c r="B19" s="69">
        <v>2041</v>
      </c>
      <c r="C19" s="95">
        <f ca="1">Model_Core!J18</f>
        <v>0.40380210243604853</v>
      </c>
      <c r="D19" s="96">
        <v>0.40380210243604853</v>
      </c>
      <c r="E19" s="96">
        <v>0.40380210243604853</v>
      </c>
      <c r="F19" s="96">
        <v>0.40380210243604853</v>
      </c>
      <c r="G19" s="96">
        <v>0.40380210243604853</v>
      </c>
      <c r="H19" s="96">
        <v>0.40380210243604853</v>
      </c>
      <c r="I19" s="96">
        <v>0.40380210243604853</v>
      </c>
      <c r="J19" s="96">
        <v>0.40380210243604853</v>
      </c>
      <c r="K19" s="96">
        <v>0.40380210243604853</v>
      </c>
      <c r="L19" s="96">
        <v>0.40380210243604853</v>
      </c>
      <c r="M19" s="96">
        <v>0.40380210243604853</v>
      </c>
    </row>
    <row r="20" spans="2:13" x14ac:dyDescent="0.3">
      <c r="B20" s="69">
        <v>2042</v>
      </c>
      <c r="C20" s="95">
        <f ca="1">Model_Core!J19</f>
        <v>0.37786040239214724</v>
      </c>
      <c r="D20" s="96">
        <v>0.37786040239214724</v>
      </c>
      <c r="E20" s="96">
        <v>0.37786040239214724</v>
      </c>
      <c r="F20" s="96">
        <v>0.37786040239214724</v>
      </c>
      <c r="G20" s="96">
        <v>0.37786040239214724</v>
      </c>
      <c r="H20" s="96">
        <v>0.37786040239214724</v>
      </c>
      <c r="I20" s="96">
        <v>0.37786040239214724</v>
      </c>
      <c r="J20" s="96">
        <v>0.37786040239214724</v>
      </c>
      <c r="K20" s="96">
        <v>0.37786040239214724</v>
      </c>
      <c r="L20" s="96">
        <v>0.37786040239214724</v>
      </c>
      <c r="M20" s="96">
        <v>0.37786040239214724</v>
      </c>
    </row>
    <row r="21" spans="2:13" x14ac:dyDescent="0.3">
      <c r="B21" s="69">
        <v>2043</v>
      </c>
      <c r="C21" s="95">
        <f ca="1">Model_Core!J20</f>
        <v>0.35273395281400499</v>
      </c>
      <c r="D21" s="96">
        <v>0.35273395281400499</v>
      </c>
      <c r="E21" s="96">
        <v>0.35273395281400499</v>
      </c>
      <c r="F21" s="96">
        <v>0.35273395281400499</v>
      </c>
      <c r="G21" s="96">
        <v>0.35273395281400499</v>
      </c>
      <c r="H21" s="96">
        <v>0.35273395281400499</v>
      </c>
      <c r="I21" s="96">
        <v>0.35273395281400499</v>
      </c>
      <c r="J21" s="96">
        <v>0.35273395281400499</v>
      </c>
      <c r="K21" s="96">
        <v>0.35273395281400499</v>
      </c>
      <c r="L21" s="96">
        <v>0.35273395281400499</v>
      </c>
      <c r="M21" s="96">
        <v>0.35273395281400499</v>
      </c>
    </row>
    <row r="22" spans="2:13" x14ac:dyDescent="0.3">
      <c r="B22" s="69">
        <v>2044</v>
      </c>
      <c r="C22" s="95">
        <f ca="1">Model_Core!J21</f>
        <v>0.32837956926988299</v>
      </c>
      <c r="D22" s="96">
        <v>0.32837956926988299</v>
      </c>
      <c r="E22" s="96">
        <v>0.32837956926988299</v>
      </c>
      <c r="F22" s="96">
        <v>0.32837956926988299</v>
      </c>
      <c r="G22" s="96">
        <v>0.32837956926988299</v>
      </c>
      <c r="H22" s="96">
        <v>0.32837956926988299</v>
      </c>
      <c r="I22" s="96">
        <v>0.32837956926988299</v>
      </c>
      <c r="J22" s="96">
        <v>0.32837956926988299</v>
      </c>
      <c r="K22" s="96">
        <v>0.32837956926988299</v>
      </c>
      <c r="L22" s="96">
        <v>0.32837956926988299</v>
      </c>
      <c r="M22" s="96">
        <v>0.32837956926988299</v>
      </c>
    </row>
    <row r="23" spans="2:13" x14ac:dyDescent="0.3">
      <c r="B23" s="69">
        <v>2045</v>
      </c>
      <c r="C23" s="95">
        <f ca="1">Model_Core!J22</f>
        <v>0.30475784903659475</v>
      </c>
      <c r="D23" s="96">
        <v>0.30475784903659475</v>
      </c>
      <c r="E23" s="96">
        <v>0.30475784903659475</v>
      </c>
      <c r="F23" s="96">
        <v>0.30475784903659475</v>
      </c>
      <c r="G23" s="96">
        <v>0.30475784903659475</v>
      </c>
      <c r="H23" s="96">
        <v>0.30475784903659475</v>
      </c>
      <c r="I23" s="96">
        <v>0.30475784903659475</v>
      </c>
      <c r="J23" s="96">
        <v>0.30475784903659475</v>
      </c>
      <c r="K23" s="96">
        <v>0.30475784903659475</v>
      </c>
      <c r="L23" s="96">
        <v>0.30475784903659475</v>
      </c>
      <c r="M23" s="96">
        <v>0.30475784903659475</v>
      </c>
    </row>
    <row r="24" spans="2:13" x14ac:dyDescent="0.3">
      <c r="B24" s="69">
        <v>2046</v>
      </c>
      <c r="C24" s="95">
        <f ca="1">Model_Core!J23</f>
        <v>0.28183266718489852</v>
      </c>
      <c r="D24" s="96">
        <v>0.28183266718489852</v>
      </c>
      <c r="E24" s="96">
        <v>0.28183266718489852</v>
      </c>
      <c r="F24" s="96">
        <v>0.28183266718489852</v>
      </c>
      <c r="G24" s="96">
        <v>0.28183266718489852</v>
      </c>
      <c r="H24" s="96">
        <v>0.28183266718489852</v>
      </c>
      <c r="I24" s="96">
        <v>0.28183266718489852</v>
      </c>
      <c r="J24" s="96">
        <v>0.28183266718489852</v>
      </c>
      <c r="K24" s="96">
        <v>0.28183266718489852</v>
      </c>
      <c r="L24" s="96">
        <v>0.28183266718489852</v>
      </c>
      <c r="M24" s="96">
        <v>0.28183266718489852</v>
      </c>
    </row>
    <row r="25" spans="2:13" x14ac:dyDescent="0.3">
      <c r="B25" s="69">
        <v>2047</v>
      </c>
      <c r="C25" s="95">
        <f ca="1">Model_Core!J24</f>
        <v>0.25957076371037568</v>
      </c>
      <c r="D25" s="96">
        <v>0.25957076371037568</v>
      </c>
      <c r="E25" s="96">
        <v>0.25957076371037568</v>
      </c>
      <c r="F25" s="96">
        <v>0.25957076371037568</v>
      </c>
      <c r="G25" s="96">
        <v>0.25957076371037568</v>
      </c>
      <c r="H25" s="96">
        <v>0.25957076371037568</v>
      </c>
      <c r="I25" s="96">
        <v>0.25957076371037568</v>
      </c>
      <c r="J25" s="96">
        <v>0.25957076371037568</v>
      </c>
      <c r="K25" s="96">
        <v>0.25957076371037568</v>
      </c>
      <c r="L25" s="96">
        <v>0.25957076371037568</v>
      </c>
      <c r="M25" s="96">
        <v>0.25957076371037568</v>
      </c>
    </row>
    <row r="26" spans="2:13" x14ac:dyDescent="0.3">
      <c r="B26" s="69">
        <v>2048</v>
      </c>
      <c r="C26" s="95">
        <f ca="1">Model_Core!J25</f>
        <v>0.23794140138518505</v>
      </c>
      <c r="D26" s="96">
        <v>0.23794140138518505</v>
      </c>
      <c r="E26" s="96">
        <v>0.23794140138518505</v>
      </c>
      <c r="F26" s="96">
        <v>0.23794140138518505</v>
      </c>
      <c r="G26" s="96">
        <v>0.23794140138518505</v>
      </c>
      <c r="H26" s="96">
        <v>0.23794140138518505</v>
      </c>
      <c r="I26" s="96">
        <v>0.23794140138518505</v>
      </c>
      <c r="J26" s="96">
        <v>0.23794140138518505</v>
      </c>
      <c r="K26" s="96">
        <v>0.23794140138518505</v>
      </c>
      <c r="L26" s="96">
        <v>0.23794140138518505</v>
      </c>
      <c r="M26" s="96">
        <v>0.23794140138518505</v>
      </c>
    </row>
    <row r="27" spans="2:13" x14ac:dyDescent="0.3">
      <c r="B27" s="69">
        <v>2049</v>
      </c>
      <c r="C27" s="95">
        <f ca="1">Model_Core!J26</f>
        <v>0.21691607929134515</v>
      </c>
      <c r="D27" s="96">
        <v>0.21691607929134515</v>
      </c>
      <c r="E27" s="96">
        <v>0.21691607929134515</v>
      </c>
      <c r="F27" s="96">
        <v>0.21691607929134515</v>
      </c>
      <c r="G27" s="96">
        <v>0.21691607929134515</v>
      </c>
      <c r="H27" s="96">
        <v>0.21691607929134515</v>
      </c>
      <c r="I27" s="96">
        <v>0.21691607929134515</v>
      </c>
      <c r="J27" s="96">
        <v>0.21691607929134515</v>
      </c>
      <c r="K27" s="96">
        <v>0.21691607929134515</v>
      </c>
      <c r="L27" s="96">
        <v>0.21691607929134515</v>
      </c>
      <c r="M27" s="96">
        <v>0.21691607929134515</v>
      </c>
    </row>
    <row r="28" spans="2:13" x14ac:dyDescent="0.3">
      <c r="B28" s="69">
        <v>2050</v>
      </c>
      <c r="C28" s="95">
        <f ca="1">Model_Core!J27</f>
        <v>0.19646829073665351</v>
      </c>
      <c r="D28" s="96">
        <v>0.19646829073665351</v>
      </c>
      <c r="E28" s="96">
        <v>0.19646829073665351</v>
      </c>
      <c r="F28" s="96">
        <v>0.19646829073665351</v>
      </c>
      <c r="G28" s="96">
        <v>0.19646829073665351</v>
      </c>
      <c r="H28" s="96">
        <v>0.19646829073665351</v>
      </c>
      <c r="I28" s="96">
        <v>0.19646829073665351</v>
      </c>
      <c r="J28" s="96">
        <v>0.19646829073665351</v>
      </c>
      <c r="K28" s="96">
        <v>0.19646829073665351</v>
      </c>
      <c r="L28" s="96">
        <v>0.19646829073665351</v>
      </c>
      <c r="M28" s="96">
        <v>0.19646829073665351</v>
      </c>
    </row>
    <row r="29" spans="2:13" x14ac:dyDescent="0.3">
      <c r="B29" s="69">
        <v>2051</v>
      </c>
      <c r="C29" s="95">
        <f ca="1">Model_Core!J28</f>
        <v>0.17657331694604017</v>
      </c>
      <c r="D29" s="96">
        <v>0.17657331694604017</v>
      </c>
      <c r="E29" s="96">
        <v>0.17657331694604017</v>
      </c>
      <c r="F29" s="96">
        <v>0.17657331694604017</v>
      </c>
      <c r="G29" s="96">
        <v>0.17657331694604017</v>
      </c>
      <c r="H29" s="96">
        <v>0.17657331694604017</v>
      </c>
      <c r="I29" s="96">
        <v>0.17657331694604017</v>
      </c>
      <c r="J29" s="96">
        <v>0.17657331694604017</v>
      </c>
      <c r="K29" s="96">
        <v>0.17657331694604017</v>
      </c>
      <c r="L29" s="96">
        <v>0.17657331694604017</v>
      </c>
      <c r="M29" s="96">
        <v>0.17657331694604017</v>
      </c>
    </row>
    <row r="30" spans="2:13" x14ac:dyDescent="0.3">
      <c r="B30" s="69">
        <v>2052</v>
      </c>
      <c r="C30" s="95">
        <f ca="1">Model_Core!J29</f>
        <v>0.15720804988788628</v>
      </c>
      <c r="D30" s="96">
        <v>0.15720804988788628</v>
      </c>
      <c r="E30" s="96">
        <v>0.15720804988788628</v>
      </c>
      <c r="F30" s="96">
        <v>0.15720804988788628</v>
      </c>
      <c r="G30" s="96">
        <v>0.15720804988788628</v>
      </c>
      <c r="H30" s="96">
        <v>0.15720804988788628</v>
      </c>
      <c r="I30" s="96">
        <v>0.15720804988788628</v>
      </c>
      <c r="J30" s="96">
        <v>0.15720804988788628</v>
      </c>
      <c r="K30" s="96">
        <v>0.15720804988788628</v>
      </c>
      <c r="L30" s="96">
        <v>0.15720804988788628</v>
      </c>
      <c r="M30" s="96">
        <v>0.15720804988788628</v>
      </c>
    </row>
    <row r="31" spans="2:13" x14ac:dyDescent="0.3">
      <c r="B31" s="69">
        <v>2053</v>
      </c>
      <c r="C31" s="95">
        <f ca="1">Model_Core!J30</f>
        <v>0.13835083905211842</v>
      </c>
      <c r="D31" s="96">
        <v>0.13835083905211842</v>
      </c>
      <c r="E31" s="96">
        <v>0.13835083905211842</v>
      </c>
      <c r="F31" s="96">
        <v>0.13835083905211842</v>
      </c>
      <c r="G31" s="96">
        <v>0.13835083905211842</v>
      </c>
      <c r="H31" s="96">
        <v>0.13835083905211842</v>
      </c>
      <c r="I31" s="96">
        <v>0.13835083905211842</v>
      </c>
      <c r="J31" s="96">
        <v>0.13835083905211842</v>
      </c>
      <c r="K31" s="96">
        <v>0.13835083905211842</v>
      </c>
      <c r="L31" s="96">
        <v>0.13835083905211842</v>
      </c>
      <c r="M31" s="96">
        <v>0.13835083905211842</v>
      </c>
    </row>
    <row r="32" spans="2:13" x14ac:dyDescent="0.3">
      <c r="B32" s="69">
        <v>2054</v>
      </c>
      <c r="C32" s="95">
        <f ca="1">Model_Core!J31</f>
        <v>0.11998135809059551</v>
      </c>
      <c r="D32" s="96">
        <v>0.11998135809059551</v>
      </c>
      <c r="E32" s="96">
        <v>0.11998135809059551</v>
      </c>
      <c r="F32" s="96">
        <v>0.11998135809059551</v>
      </c>
      <c r="G32" s="96">
        <v>0.11998135809059551</v>
      </c>
      <c r="H32" s="96">
        <v>0.11998135809059551</v>
      </c>
      <c r="I32" s="96">
        <v>0.11998135809059551</v>
      </c>
      <c r="J32" s="96">
        <v>0.11998135809059551</v>
      </c>
      <c r="K32" s="96">
        <v>0.11998135809059551</v>
      </c>
      <c r="L32" s="96">
        <v>0.11998135809059551</v>
      </c>
      <c r="M32" s="96">
        <v>0.11998135809059551</v>
      </c>
    </row>
    <row r="33" spans="2:13" x14ac:dyDescent="0.3">
      <c r="B33" s="69">
        <v>2055</v>
      </c>
      <c r="C33" s="95">
        <f ca="1">Model_Core!J32</f>
        <v>0.10208048806100156</v>
      </c>
      <c r="D33" s="96">
        <v>0.10208048806100156</v>
      </c>
      <c r="E33" s="96">
        <v>0.10208048806100156</v>
      </c>
      <c r="F33" s="96">
        <v>0.10208048806100156</v>
      </c>
      <c r="G33" s="96">
        <v>0.10208048806100156</v>
      </c>
      <c r="H33" s="96">
        <v>0.10208048806100156</v>
      </c>
      <c r="I33" s="96">
        <v>0.10208048806100156</v>
      </c>
      <c r="J33" s="96">
        <v>0.10208048806100156</v>
      </c>
      <c r="K33" s="96">
        <v>0.10208048806100156</v>
      </c>
      <c r="L33" s="96">
        <v>0.10208048806100156</v>
      </c>
      <c r="M33" s="96">
        <v>0.10208048806100156</v>
      </c>
    </row>
    <row r="34" spans="2:13" x14ac:dyDescent="0.3">
      <c r="B34" s="69">
        <v>2056</v>
      </c>
      <c r="C34" s="95">
        <f ca="1">Model_Core!J33</f>
        <v>9.9999161215776899E-2</v>
      </c>
      <c r="D34" s="96">
        <v>9.2260627387485084E-2</v>
      </c>
      <c r="E34" s="96">
        <v>9.9999161215776899E-2</v>
      </c>
      <c r="F34" s="96">
        <v>0.1078481306104202</v>
      </c>
      <c r="G34" s="96">
        <v>0.11580991657739848</v>
      </c>
      <c r="H34" s="96">
        <v>0.12388696906458141</v>
      </c>
      <c r="I34" s="96">
        <v>0.13208180947518122</v>
      </c>
      <c r="J34" s="96">
        <v>0.14039703329197439</v>
      </c>
      <c r="K34" s="96">
        <v>0.14883531281803242</v>
      </c>
      <c r="L34" s="96">
        <v>0.15739940004003916</v>
      </c>
      <c r="M34" s="96">
        <v>0.1660921296206348</v>
      </c>
    </row>
    <row r="35" spans="2:13" x14ac:dyDescent="0.3">
      <c r="B35" s="69">
        <v>2057</v>
      </c>
      <c r="C35" s="95">
        <f ca="1">Model_Core!J34</f>
        <v>0.10000000000075016</v>
      </c>
      <c r="D35" s="96">
        <v>8.3564824454982478E-2</v>
      </c>
      <c r="E35" s="96">
        <v>0.10000000000075016</v>
      </c>
      <c r="F35" s="96">
        <v>0.1169414214286304</v>
      </c>
      <c r="G35" s="96">
        <v>0.13441284514018204</v>
      </c>
      <c r="H35" s="96">
        <v>0.15243953756691919</v>
      </c>
      <c r="I35" s="96">
        <v>0.17104839708531783</v>
      </c>
      <c r="J35" s="96">
        <v>0.19026808793731864</v>
      </c>
      <c r="K35" s="96">
        <v>0.21012918755860466</v>
      </c>
      <c r="L35" s="96">
        <v>0.2306643489073148</v>
      </c>
      <c r="M35" s="96">
        <v>0.25190847960578022</v>
      </c>
    </row>
    <row r="36" spans="2:13" x14ac:dyDescent="0.3">
      <c r="B36" s="69">
        <v>2058</v>
      </c>
      <c r="C36" s="95">
        <f ca="1">Model_Core!J35</f>
        <v>0.10000000000000009</v>
      </c>
      <c r="D36" s="96">
        <v>7.4949413063896575E-2</v>
      </c>
      <c r="E36" s="96">
        <v>0.10000000000000009</v>
      </c>
      <c r="F36" s="96">
        <v>0.12624600098977479</v>
      </c>
      <c r="G36" s="96">
        <v>0.15377507532519541</v>
      </c>
      <c r="H36" s="96">
        <v>0.18268366774280853</v>
      </c>
      <c r="I36" s="96">
        <v>0.21307813733476366</v>
      </c>
      <c r="J36" s="96">
        <v>0.24507606512672431</v>
      </c>
      <c r="K36" s="96">
        <v>0.27880777420586123</v>
      </c>
      <c r="L36" s="96">
        <v>0.31441810383037616</v>
      </c>
      <c r="M36" s="96">
        <v>0.35206848844614536</v>
      </c>
    </row>
    <row r="37" spans="2:13" x14ac:dyDescent="0.3">
      <c r="B37" s="69">
        <v>2059</v>
      </c>
      <c r="C37" s="95">
        <f ca="1">Model_Core!J36</f>
        <v>0.10000000000000009</v>
      </c>
      <c r="D37" s="96">
        <v>6.6413671798252638E-2</v>
      </c>
      <c r="E37" s="96">
        <v>0.10000000000000009</v>
      </c>
      <c r="F37" s="96">
        <v>0.13577070383639533</v>
      </c>
      <c r="G37" s="96">
        <v>0.17394604595434138</v>
      </c>
      <c r="H37" s="96">
        <v>0.21477693272316944</v>
      </c>
      <c r="I37" s="96">
        <v>0.25855043534320044</v>
      </c>
      <c r="J37" s="96">
        <v>0.30559654926797708</v>
      </c>
      <c r="K37" s="96">
        <v>0.35629652855054617</v>
      </c>
      <c r="L37" s="96">
        <v>0.41109324052126461</v>
      </c>
      <c r="M37" s="96">
        <v>0.47050413622762477</v>
      </c>
    </row>
    <row r="38" spans="2:13" x14ac:dyDescent="0.3">
      <c r="B38" s="69">
        <v>2060</v>
      </c>
      <c r="C38" s="95">
        <f ca="1">Model_Core!J37</f>
        <v>0.10000000000000009</v>
      </c>
      <c r="D38" s="96">
        <v>5.7956522763624951E-2</v>
      </c>
      <c r="E38" s="96">
        <v>0.10000000000000009</v>
      </c>
      <c r="F38" s="96">
        <v>0.14552340888191817</v>
      </c>
      <c r="G38" s="96">
        <v>0.19497745173653169</v>
      </c>
      <c r="H38" s="96">
        <v>0.24889417264870395</v>
      </c>
      <c r="I38" s="96">
        <v>0.30790617502204909</v>
      </c>
      <c r="J38" s="96">
        <v>0.37277155768985804</v>
      </c>
      <c r="K38" s="96">
        <v>0.44440665844660021</v>
      </c>
      <c r="L38" s="96">
        <v>0.52392961390618309</v>
      </c>
      <c r="M38" s="96">
        <v>0.61271914706932695</v>
      </c>
    </row>
    <row r="40" spans="2:13" x14ac:dyDescent="0.3">
      <c r="B40" s="67" t="s">
        <v>0</v>
      </c>
      <c r="C40" s="67" t="s">
        <v>636</v>
      </c>
      <c r="D40" s="66">
        <v>-0.1</v>
      </c>
      <c r="E40" s="66">
        <v>-0.2</v>
      </c>
      <c r="F40" s="66">
        <v>-0.3</v>
      </c>
      <c r="G40" s="66">
        <v>-0.4</v>
      </c>
      <c r="H40" s="66">
        <v>-0.5</v>
      </c>
      <c r="I40" s="66">
        <v>-0.6</v>
      </c>
      <c r="J40" s="66">
        <v>-0.7</v>
      </c>
      <c r="K40" s="66">
        <v>-0.8</v>
      </c>
      <c r="L40" s="66">
        <v>-0.9</v>
      </c>
      <c r="M40" s="66">
        <v>-1</v>
      </c>
    </row>
    <row r="41" spans="2:13" x14ac:dyDescent="0.3">
      <c r="B41" s="69">
        <v>2060</v>
      </c>
      <c r="C41" s="68">
        <f ca="1">VLOOKUP($B$41,$B$4:$M$38,2,FALSE)</f>
        <v>0.10000000000000009</v>
      </c>
      <c r="D41" s="97">
        <f>VLOOKUP($B$41,$B$4:$M$38,3,FALSE)</f>
        <v>5.7956522763624951E-2</v>
      </c>
      <c r="E41" s="97">
        <f>VLOOKUP($B$41,$B$4:$M$38,4,FALSE)</f>
        <v>0.10000000000000009</v>
      </c>
      <c r="F41" s="97">
        <f>VLOOKUP($B$41,$B$4:$M$38,5,FALSE)</f>
        <v>0.14552340888191817</v>
      </c>
      <c r="G41" s="97">
        <f>VLOOKUP($B$41,$B$4:$M$38,6,FALSE)</f>
        <v>0.19497745173653169</v>
      </c>
      <c r="H41" s="97">
        <f>VLOOKUP($B$41,$B$4:$M$38,7,FALSE)</f>
        <v>0.24889417264870395</v>
      </c>
      <c r="I41" s="97">
        <f>VLOOKUP($B$41,$B$4:$M$38,8,FALSE)</f>
        <v>0.30790617502204909</v>
      </c>
      <c r="J41" s="97">
        <f>VLOOKUP($B$41,$B$4:$M$38,9,FALSE)</f>
        <v>0.37277155768985804</v>
      </c>
      <c r="K41" s="97">
        <f>VLOOKUP($B$41,$B$4:$M$38,10,FALSE)</f>
        <v>0.44440665844660021</v>
      </c>
      <c r="L41" s="97">
        <f>VLOOKUP($B$41,$B$4:$M$38,11,FALSE)</f>
        <v>0.52392961390618309</v>
      </c>
      <c r="M41" s="97">
        <f>VLOOKUP($B$41,$B$4:$M$38,12,FALSE)</f>
        <v>0.61271914706932695</v>
      </c>
    </row>
    <row r="42" spans="2:13" x14ac:dyDescent="0.3">
      <c r="B42" s="86" t="str">
        <f>"Tariff_Inc%: "&amp;TEXT(VLOOKUP(B41,'Trade-off Analysis'!E3:F37,2,0), "0%")</f>
        <v>Tariff_Inc%: 37%</v>
      </c>
      <c r="C42" s="83" t="s">
        <v>686</v>
      </c>
      <c r="D42" s="96">
        <f ca="1">(D41-$C$41)</f>
        <v>-4.2043477236375137E-2</v>
      </c>
      <c r="E42" s="96">
        <f t="shared" ref="E42:M42" ca="1" si="0">(E41-$C$41)</f>
        <v>0</v>
      </c>
      <c r="F42" s="96">
        <f t="shared" ca="1" si="0"/>
        <v>4.5523408881918082E-2</v>
      </c>
      <c r="G42" s="96">
        <f t="shared" ca="1" si="0"/>
        <v>9.4977451736531604E-2</v>
      </c>
      <c r="H42" s="96">
        <f t="shared" ca="1" si="0"/>
        <v>0.14889417264870386</v>
      </c>
      <c r="I42" s="96">
        <f t="shared" ca="1" si="0"/>
        <v>0.207906175022049</v>
      </c>
      <c r="J42" s="96">
        <f t="shared" ca="1" si="0"/>
        <v>0.27277155768985795</v>
      </c>
      <c r="K42" s="96">
        <f t="shared" ca="1" si="0"/>
        <v>0.34440665844660012</v>
      </c>
      <c r="L42" s="96">
        <f t="shared" ca="1" si="0"/>
        <v>0.423929613906183</v>
      </c>
      <c r="M42" s="96">
        <f t="shared" ca="1" si="0"/>
        <v>0.51271914706932686</v>
      </c>
    </row>
    <row r="43" spans="2:13" x14ac:dyDescent="0.3">
      <c r="B43" s="1"/>
      <c r="C43" s="75"/>
      <c r="D43" s="74"/>
      <c r="E43" s="74"/>
      <c r="F43" s="74"/>
      <c r="G43" s="74"/>
      <c r="H43" s="74"/>
      <c r="I43" s="74"/>
      <c r="J43" s="74"/>
      <c r="K43" s="74"/>
      <c r="L43" s="74"/>
      <c r="M43" s="74"/>
    </row>
    <row r="44" spans="2:13" x14ac:dyDescent="0.3">
      <c r="B44" s="70" t="s">
        <v>687</v>
      </c>
      <c r="C44">
        <v>-0.2</v>
      </c>
    </row>
    <row r="45" spans="2:13" x14ac:dyDescent="0.3">
      <c r="B45" s="84" t="s">
        <v>688</v>
      </c>
      <c r="C45" s="85" t="s">
        <v>701</v>
      </c>
    </row>
    <row r="47" spans="2:13" x14ac:dyDescent="0.3">
      <c r="B47" s="71" t="s">
        <v>5</v>
      </c>
    </row>
    <row r="48" spans="2:13" x14ac:dyDescent="0.3">
      <c r="B48" s="70" t="s">
        <v>689</v>
      </c>
      <c r="C48" t="s">
        <v>690</v>
      </c>
    </row>
    <row r="49" spans="2:4" x14ac:dyDescent="0.3">
      <c r="B49" s="70" t="s">
        <v>687</v>
      </c>
      <c r="C49" t="s">
        <v>691</v>
      </c>
    </row>
    <row r="51" spans="2:4" x14ac:dyDescent="0.3">
      <c r="B51" s="70" t="s">
        <v>692</v>
      </c>
    </row>
    <row r="52" spans="2:4" x14ac:dyDescent="0.3">
      <c r="B52" s="70" t="s">
        <v>693</v>
      </c>
      <c r="C52" s="1" t="s">
        <v>694</v>
      </c>
      <c r="D52" t="s">
        <v>695</v>
      </c>
    </row>
    <row r="53" spans="2:4" x14ac:dyDescent="0.3">
      <c r="B53" s="70" t="s">
        <v>636</v>
      </c>
      <c r="C53" s="1" t="s">
        <v>697</v>
      </c>
      <c r="D53" s="8" t="s">
        <v>698</v>
      </c>
    </row>
    <row r="54" spans="2:4" x14ac:dyDescent="0.3">
      <c r="B54" s="70" t="s">
        <v>686</v>
      </c>
      <c r="C54" s="1" t="s">
        <v>699</v>
      </c>
      <c r="D54" s="8" t="s">
        <v>700</v>
      </c>
    </row>
    <row r="55" spans="2:4" x14ac:dyDescent="0.3">
      <c r="B55" s="70" t="s">
        <v>702</v>
      </c>
      <c r="C55" s="1" t="s">
        <v>703</v>
      </c>
      <c r="D55" s="8" t="s">
        <v>704</v>
      </c>
    </row>
    <row r="56" spans="2:4" x14ac:dyDescent="0.3">
      <c r="B56" s="70"/>
      <c r="C56" s="1"/>
    </row>
    <row r="57" spans="2:4" x14ac:dyDescent="0.3">
      <c r="B57" s="70"/>
    </row>
    <row r="58" spans="2:4" x14ac:dyDescent="0.3">
      <c r="B58" s="70"/>
    </row>
    <row r="59" spans="2:4" x14ac:dyDescent="0.3">
      <c r="B59" s="70"/>
    </row>
    <row r="60" spans="2:4" x14ac:dyDescent="0.3">
      <c r="B60" s="70"/>
    </row>
    <row r="61" spans="2:4" x14ac:dyDescent="0.3">
      <c r="B61" s="70"/>
    </row>
  </sheetData>
  <mergeCells count="1">
    <mergeCell ref="D2:M2"/>
  </mergeCells>
  <dataValidations count="1">
    <dataValidation type="list" allowBlank="1" showInputMessage="1" showErrorMessage="1" sqref="B41" xr:uid="{2D9D66FE-9220-423C-80FA-D2CE1D035BC0}">
      <formula1>$B$4:$B$38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47"/>
  <sheetViews>
    <sheetView zoomScale="85" zoomScaleNormal="85" workbookViewId="0">
      <selection activeCell="S27" sqref="S27"/>
    </sheetView>
  </sheetViews>
  <sheetFormatPr defaultRowHeight="14.4" x14ac:dyDescent="0.3"/>
  <cols>
    <col min="3" max="3" width="19.21875" customWidth="1"/>
    <col min="4" max="4" width="21.5546875" customWidth="1"/>
    <col min="5" max="5" width="15.6640625" bestFit="1" customWidth="1"/>
    <col min="7" max="7" width="28.44140625" bestFit="1" customWidth="1"/>
    <col min="8" max="8" width="8.88671875" customWidth="1"/>
  </cols>
  <sheetData>
    <row r="2" spans="2:5" x14ac:dyDescent="0.3">
      <c r="B2" s="27" t="s">
        <v>0</v>
      </c>
      <c r="C2" s="27" t="s">
        <v>634</v>
      </c>
      <c r="D2" s="27" t="s">
        <v>31</v>
      </c>
      <c r="E2" s="27" t="s">
        <v>636</v>
      </c>
    </row>
    <row r="3" spans="2:5" x14ac:dyDescent="0.3">
      <c r="B3" s="4">
        <v>2026</v>
      </c>
      <c r="C3" s="81">
        <f>Model_Core!G3</f>
        <v>797535641.64958239</v>
      </c>
      <c r="D3" s="81">
        <f ca="1">Model_Core!H3</f>
        <v>1029145350.5033813</v>
      </c>
      <c r="E3" s="49">
        <f ca="1">Model_Core!J3</f>
        <v>0.29040671884550395</v>
      </c>
    </row>
    <row r="4" spans="2:5" x14ac:dyDescent="0.3">
      <c r="B4" s="4">
        <v>2027</v>
      </c>
      <c r="C4" s="81">
        <f>Model_Core!G4</f>
        <v>820182040.24662113</v>
      </c>
      <c r="D4" s="81">
        <f ca="1">Model_Core!H4</f>
        <v>1263477482.5705814</v>
      </c>
      <c r="E4" s="49">
        <f ca="1">Model_Core!J4</f>
        <v>0.54048421029880811</v>
      </c>
    </row>
    <row r="5" spans="2:5" x14ac:dyDescent="0.3">
      <c r="B5" s="4">
        <v>2028</v>
      </c>
      <c r="C5" s="81">
        <f>Model_Core!G5</f>
        <v>841834095.61075544</v>
      </c>
      <c r="D5" s="81">
        <f ca="1">Model_Core!H5</f>
        <v>1263477482.5705814</v>
      </c>
      <c r="E5" s="49">
        <f ca="1">Model_Core!J5</f>
        <v>0.50086280557919349</v>
      </c>
    </row>
    <row r="6" spans="2:5" x14ac:dyDescent="0.3">
      <c r="B6" s="4">
        <v>2029</v>
      </c>
      <c r="C6" s="81">
        <f>Model_Core!G6</f>
        <v>862942393.43503225</v>
      </c>
      <c r="D6" s="81">
        <f ca="1">Model_Core!H6</f>
        <v>1263477482.5705814</v>
      </c>
      <c r="E6" s="49">
        <f ca="1">Model_Core!J6</f>
        <v>0.46415043713541237</v>
      </c>
    </row>
    <row r="7" spans="2:5" x14ac:dyDescent="0.3">
      <c r="B7" s="4">
        <v>2030</v>
      </c>
      <c r="C7" s="81">
        <f>Model_Core!G7</f>
        <v>883726528.36150599</v>
      </c>
      <c r="D7" s="81">
        <f ca="1">Model_Core!H7</f>
        <v>1263477482.5705814</v>
      </c>
      <c r="E7" s="49">
        <f ca="1">Model_Core!J7</f>
        <v>0.42971546289683271</v>
      </c>
    </row>
    <row r="8" spans="2:5" x14ac:dyDescent="0.3">
      <c r="B8" s="4">
        <v>2031</v>
      </c>
      <c r="C8" s="81">
        <f>Model_Core!G8</f>
        <v>904312937.37425482</v>
      </c>
      <c r="D8" s="81">
        <f ca="1">Model_Core!H8</f>
        <v>1263477482.5705814</v>
      </c>
      <c r="E8" s="49">
        <f ca="1">Model_Core!J8</f>
        <v>0.39716842516838224</v>
      </c>
    </row>
    <row r="9" spans="2:5" x14ac:dyDescent="0.3">
      <c r="B9" s="4">
        <v>2032</v>
      </c>
      <c r="C9" s="81">
        <f>Model_Core!G9</f>
        <v>924782242.81912136</v>
      </c>
      <c r="D9" s="81">
        <f ca="1">Model_Core!H9</f>
        <v>1263477482.5705814</v>
      </c>
      <c r="E9" s="49">
        <f ca="1">Model_Core!J9</f>
        <v>0.36624323442778906</v>
      </c>
    </row>
    <row r="10" spans="2:5" x14ac:dyDescent="0.3">
      <c r="B10" s="4">
        <v>2033</v>
      </c>
      <c r="C10" s="81">
        <f>Model_Core!G10</f>
        <v>945189565.83998537</v>
      </c>
      <c r="D10" s="81">
        <f ca="1">Model_Core!H10</f>
        <v>1263477482.5705814</v>
      </c>
      <c r="E10" s="49">
        <f ca="1">Model_Core!J10</f>
        <v>0.33674505965132528</v>
      </c>
    </row>
    <row r="11" spans="2:5" x14ac:dyDescent="0.3">
      <c r="B11" s="4">
        <v>2034</v>
      </c>
      <c r="C11" s="81">
        <f>Model_Core!G11</f>
        <v>965574563.71934557</v>
      </c>
      <c r="D11" s="81">
        <f ca="1">Model_Core!H11</f>
        <v>1263477482.5705814</v>
      </c>
      <c r="E11" s="49">
        <f ca="1">Model_Core!J11</f>
        <v>0.30852399187456681</v>
      </c>
    </row>
    <row r="12" spans="2:5" x14ac:dyDescent="0.3">
      <c r="B12" s="4">
        <v>2035</v>
      </c>
      <c r="C12" s="81">
        <f>Model_Core!G12</f>
        <v>985966905.35733628</v>
      </c>
      <c r="D12" s="81">
        <f ca="1">Model_Core!H12</f>
        <v>1557497987.9001813</v>
      </c>
      <c r="E12" s="49">
        <f ca="1">Model_Core!J12</f>
        <v>0.5796655845519576</v>
      </c>
    </row>
    <row r="13" spans="2:5" x14ac:dyDescent="0.3">
      <c r="B13" s="4">
        <v>2036</v>
      </c>
      <c r="C13" s="81">
        <f>Model_Core!G13</f>
        <v>1006389486.6170037</v>
      </c>
      <c r="D13" s="81">
        <f ca="1">Model_Core!H13</f>
        <v>1557497987.9001813</v>
      </c>
      <c r="E13" s="49">
        <f ca="1">Model_Core!J13</f>
        <v>0.54760955734517736</v>
      </c>
    </row>
    <row r="14" spans="2:5" x14ac:dyDescent="0.3">
      <c r="B14" s="4">
        <v>2037</v>
      </c>
      <c r="C14" s="81">
        <f>Model_Core!G14</f>
        <v>1026860429.6495075</v>
      </c>
      <c r="D14" s="81">
        <f ca="1">Model_Core!H14</f>
        <v>1557497987.9001813</v>
      </c>
      <c r="E14" s="49">
        <f ca="1">Model_Core!J14</f>
        <v>0.51675723684453723</v>
      </c>
    </row>
    <row r="15" spans="2:5" x14ac:dyDescent="0.3">
      <c r="B15" s="4">
        <v>2038</v>
      </c>
      <c r="C15" s="81">
        <f>Model_Core!G15</f>
        <v>1047394384.3762619</v>
      </c>
      <c r="D15" s="81">
        <f ca="1">Model_Core!H15</f>
        <v>1557497987.9001813</v>
      </c>
      <c r="E15" s="49">
        <f ca="1">Model_Core!J15</f>
        <v>0.48702151847767761</v>
      </c>
    </row>
    <row r="16" spans="2:5" x14ac:dyDescent="0.3">
      <c r="B16" s="4">
        <v>2039</v>
      </c>
      <c r="C16" s="81">
        <f>Model_Core!G16</f>
        <v>1068003408.1378345</v>
      </c>
      <c r="D16" s="81">
        <f ca="1">Model_Core!H16</f>
        <v>1557497987.9001813</v>
      </c>
      <c r="E16" s="49">
        <f ca="1">Model_Core!J16</f>
        <v>0.45832679561933887</v>
      </c>
    </row>
    <row r="17" spans="2:5" x14ac:dyDescent="0.3">
      <c r="B17" s="4">
        <v>2040</v>
      </c>
      <c r="C17" s="81">
        <f>Model_Core!G17</f>
        <v>1088697579.1944022</v>
      </c>
      <c r="D17" s="81">
        <f ca="1">Model_Core!H17</f>
        <v>1557497987.9001813</v>
      </c>
      <c r="E17" s="49">
        <f ca="1">Model_Core!J17</f>
        <v>0.43060664197735687</v>
      </c>
    </row>
    <row r="18" spans="2:5" x14ac:dyDescent="0.3">
      <c r="B18" s="4">
        <v>2041</v>
      </c>
      <c r="C18" s="81">
        <f>Model_Core!G18</f>
        <v>1109485436.1575758</v>
      </c>
      <c r="D18" s="81">
        <f ca="1">Model_Core!H18</f>
        <v>1557497987.9001813</v>
      </c>
      <c r="E18" s="49">
        <f ca="1">Model_Core!J18</f>
        <v>0.40380210243604853</v>
      </c>
    </row>
    <row r="19" spans="2:5" x14ac:dyDescent="0.3">
      <c r="B19" s="4">
        <v>2042</v>
      </c>
      <c r="C19" s="81">
        <f>Model_Core!G19</f>
        <v>1130374300.0351555</v>
      </c>
      <c r="D19" s="81">
        <f ca="1">Model_Core!H19</f>
        <v>1557497987.9001813</v>
      </c>
      <c r="E19" s="49">
        <f ca="1">Model_Core!J19</f>
        <v>0.37786040239214724</v>
      </c>
    </row>
    <row r="20" spans="2:5" x14ac:dyDescent="0.3">
      <c r="B20" s="4">
        <v>2043</v>
      </c>
      <c r="C20" s="81">
        <f>Model_Core!G20</f>
        <v>1151370514.9931507</v>
      </c>
      <c r="D20" s="81">
        <f ca="1">Model_Core!H20</f>
        <v>1557497987.9001813</v>
      </c>
      <c r="E20" s="49">
        <f ca="1">Model_Core!J20</f>
        <v>0.35273395281400499</v>
      </c>
    </row>
    <row r="21" spans="2:5" x14ac:dyDescent="0.3">
      <c r="B21" s="4">
        <v>2044</v>
      </c>
      <c r="C21" s="81">
        <f>Model_Core!G21</f>
        <v>1172479631.5229604</v>
      </c>
      <c r="D21" s="81">
        <f ca="1">Model_Core!H21</f>
        <v>1557497987.9001813</v>
      </c>
      <c r="E21" s="49">
        <f ca="1">Model_Core!J21</f>
        <v>0.32837956926988299</v>
      </c>
    </row>
    <row r="22" spans="2:5" x14ac:dyDescent="0.3">
      <c r="B22" s="4">
        <v>2045</v>
      </c>
      <c r="C22" s="81">
        <f>Model_Core!G22</f>
        <v>1193706547.9622939</v>
      </c>
      <c r="D22" s="81">
        <f ca="1">Model_Core!H22</f>
        <v>1557497987.9001813</v>
      </c>
      <c r="E22" s="49">
        <f ca="1">Model_Core!J22</f>
        <v>0.30475784903659475</v>
      </c>
    </row>
    <row r="23" spans="2:5" x14ac:dyDescent="0.3">
      <c r="B23" s="4">
        <v>2046</v>
      </c>
      <c r="C23" s="81">
        <f>Model_Core!G23</f>
        <v>1215055621.3555441</v>
      </c>
      <c r="D23" s="81">
        <f ca="1">Model_Core!H23</f>
        <v>1557497987.9001813</v>
      </c>
      <c r="E23" s="49">
        <f ca="1">Model_Core!J23</f>
        <v>0.28183266718489852</v>
      </c>
    </row>
    <row r="24" spans="2:5" x14ac:dyDescent="0.3">
      <c r="B24" s="4">
        <v>2047</v>
      </c>
      <c r="C24" s="81">
        <f>Model_Core!G24</f>
        <v>1236530755.3758931</v>
      </c>
      <c r="D24" s="81">
        <f ca="1">Model_Core!H24</f>
        <v>1557497987.9001813</v>
      </c>
      <c r="E24" s="49">
        <f ca="1">Model_Core!J24</f>
        <v>0.25957076371037568</v>
      </c>
    </row>
    <row r="25" spans="2:5" x14ac:dyDescent="0.3">
      <c r="B25" s="4">
        <v>2048</v>
      </c>
      <c r="C25" s="81">
        <f>Model_Core!G25</f>
        <v>1258135470.8368514</v>
      </c>
      <c r="D25" s="81">
        <f ca="1">Model_Core!H25</f>
        <v>1557497987.9001813</v>
      </c>
      <c r="E25" s="49">
        <f ca="1">Model_Core!J25</f>
        <v>0.23794140138518505</v>
      </c>
    </row>
    <row r="26" spans="2:5" x14ac:dyDescent="0.3">
      <c r="B26" s="4">
        <v>2049</v>
      </c>
      <c r="C26" s="81">
        <f>Model_Core!G26</f>
        <v>1279872962.8152909</v>
      </c>
      <c r="D26" s="81">
        <f ca="1">Model_Core!H26</f>
        <v>1557497987.9001813</v>
      </c>
      <c r="E26" s="49">
        <f ca="1">Model_Core!J26</f>
        <v>0.21691607929134515</v>
      </c>
    </row>
    <row r="27" spans="2:5" x14ac:dyDescent="0.3">
      <c r="B27" s="4">
        <v>2050</v>
      </c>
      <c r="C27" s="81">
        <f>Model_Core!G27</f>
        <v>1301746147.3561037</v>
      </c>
      <c r="D27" s="81">
        <f ca="1">Model_Core!H27</f>
        <v>1557497987.9001813</v>
      </c>
      <c r="E27" s="49">
        <f ca="1">Model_Core!J27</f>
        <v>0.19646829073665351</v>
      </c>
    </row>
    <row r="28" spans="2:5" x14ac:dyDescent="0.3">
      <c r="B28" s="4">
        <v>2051</v>
      </c>
      <c r="C28" s="81">
        <f>Model_Core!G28</f>
        <v>1323757699.9815738</v>
      </c>
      <c r="D28" s="81">
        <f ca="1">Model_Core!H28</f>
        <v>1557497987.9001813</v>
      </c>
      <c r="E28" s="49">
        <f ca="1">Model_Core!J28</f>
        <v>0.17657331694604017</v>
      </c>
    </row>
    <row r="29" spans="2:5" x14ac:dyDescent="0.3">
      <c r="B29" s="4">
        <v>2052</v>
      </c>
      <c r="C29" s="81">
        <f>Model_Core!G29</f>
        <v>1345910087.690002</v>
      </c>
      <c r="D29" s="81">
        <f ca="1">Model_Core!H29</f>
        <v>1557497987.9001813</v>
      </c>
      <c r="E29" s="49">
        <f ca="1">Model_Core!J29</f>
        <v>0.15720804988788628</v>
      </c>
    </row>
    <row r="30" spans="2:5" x14ac:dyDescent="0.3">
      <c r="B30" s="4">
        <v>2053</v>
      </c>
      <c r="C30" s="81">
        <f>Model_Core!G30</f>
        <v>1368205595.7345085</v>
      </c>
      <c r="D30" s="81">
        <f ca="1">Model_Core!H30</f>
        <v>1557497987.9001813</v>
      </c>
      <c r="E30" s="49">
        <f ca="1">Model_Core!J30</f>
        <v>0.13835083905211842</v>
      </c>
    </row>
    <row r="31" spans="2:5" x14ac:dyDescent="0.3">
      <c r="B31" s="4">
        <v>2054</v>
      </c>
      <c r="C31" s="81">
        <f>Model_Core!G31</f>
        <v>1390646350.1816564</v>
      </c>
      <c r="D31" s="81">
        <f ca="1">Model_Core!H31</f>
        <v>1557497987.9001813</v>
      </c>
      <c r="E31" s="49">
        <f ca="1">Model_Core!J31</f>
        <v>0.11998135809059551</v>
      </c>
    </row>
    <row r="32" spans="2:5" x14ac:dyDescent="0.3">
      <c r="B32" s="4">
        <v>2055</v>
      </c>
      <c r="C32" s="81">
        <f>Model_Core!G32</f>
        <v>1413234337.0314455</v>
      </c>
      <c r="D32" s="81">
        <f ca="1">Model_Core!H32</f>
        <v>1557497987.9001813</v>
      </c>
      <c r="E32" s="49">
        <f ca="1">Model_Core!J32</f>
        <v>0.10208048806100156</v>
      </c>
    </row>
    <row r="33" spans="2:5" x14ac:dyDescent="0.3">
      <c r="B33" s="4">
        <v>2056</v>
      </c>
      <c r="C33" s="81">
        <f>Model_Core!G33</f>
        <v>1415908341.4015994</v>
      </c>
      <c r="D33" s="81">
        <f ca="1">Model_Core!H33</f>
        <v>1557497987.9001813</v>
      </c>
      <c r="E33" s="49">
        <f ca="1">Model_Core!J33</f>
        <v>9.9999161215776899E-2</v>
      </c>
    </row>
    <row r="34" spans="2:5" x14ac:dyDescent="0.3">
      <c r="B34" s="4">
        <v>2057</v>
      </c>
      <c r="C34" s="81">
        <f>Model_Core!G34</f>
        <v>1415907261.7264719</v>
      </c>
      <c r="D34" s="81">
        <f ca="1">Model_Core!H34</f>
        <v>1557497987.9001813</v>
      </c>
      <c r="E34" s="49">
        <f ca="1">Model_Core!J34</f>
        <v>0.10000000000075016</v>
      </c>
    </row>
    <row r="35" spans="2:5" x14ac:dyDescent="0.3">
      <c r="B35" s="4">
        <v>2058</v>
      </c>
      <c r="C35" s="81">
        <f>Model_Core!G35</f>
        <v>1415907261.7274375</v>
      </c>
      <c r="D35" s="81">
        <f ca="1">Model_Core!H35</f>
        <v>1557497987.9001813</v>
      </c>
      <c r="E35" s="49">
        <f ca="1">Model_Core!J35</f>
        <v>0.10000000000000009</v>
      </c>
    </row>
    <row r="36" spans="2:5" x14ac:dyDescent="0.3">
      <c r="B36" s="4">
        <v>2059</v>
      </c>
      <c r="C36" s="81">
        <f>Model_Core!G36</f>
        <v>1415907261.7274375</v>
      </c>
      <c r="D36" s="81">
        <f ca="1">Model_Core!H36</f>
        <v>1557497987.9001813</v>
      </c>
      <c r="E36" s="49">
        <f ca="1">Model_Core!J36</f>
        <v>0.10000000000000009</v>
      </c>
    </row>
    <row r="37" spans="2:5" x14ac:dyDescent="0.3">
      <c r="B37" s="4">
        <v>2060</v>
      </c>
      <c r="C37" s="81">
        <f>Model_Core!G37</f>
        <v>1415907261.7274375</v>
      </c>
      <c r="D37" s="81">
        <f ca="1">Model_Core!H37</f>
        <v>1557497987.9001813</v>
      </c>
      <c r="E37" s="49">
        <f ca="1">Model_Core!J37</f>
        <v>0.10000000000000009</v>
      </c>
    </row>
    <row r="47" spans="2:5" ht="15.6" customHeight="1" x14ac:dyDescent="0.3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Inputs_Population</vt:lpstr>
      <vt:lpstr>Inputs_Consumption</vt:lpstr>
      <vt:lpstr>Inputs_Tariff</vt:lpstr>
      <vt:lpstr>Inputs_Supply</vt:lpstr>
      <vt:lpstr>RainfallMonthlyTotal</vt:lpstr>
      <vt:lpstr>Model_Core</vt:lpstr>
      <vt:lpstr>Trade-off Analysis</vt:lpstr>
      <vt:lpstr>Sensitivity Analysis</vt:lpstr>
      <vt:lpstr>Results_Dashboard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WU Jiayan</cp:lastModifiedBy>
  <cp:revision/>
  <dcterms:created xsi:type="dcterms:W3CDTF">2025-10-25T12:36:53Z</dcterms:created>
  <dcterms:modified xsi:type="dcterms:W3CDTF">2025-11-05T11:45:49Z</dcterms:modified>
  <cp:category/>
  <cp:contentStatus/>
</cp:coreProperties>
</file>